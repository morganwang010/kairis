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ony\Desktop\长城薪资20260528\"/>
    </mc:Choice>
  </mc:AlternateContent>
  <xr:revisionPtr revIDLastSave="0" documentId="13_ncr:1_{71617430-CDB0-42C5-8034-3A1BADC4D203}" xr6:coauthVersionLast="47" xr6:coauthVersionMax="47" xr10:uidLastSave="{00000000-0000-0000-0000-000000000000}"/>
  <bookViews>
    <workbookView xWindow="-90" yWindow="-90" windowWidth="19380" windowHeight="10260" xr2:uid="{4155DEF2-3BAB-469C-9142-7F89D1D8BF38}"/>
  </bookViews>
  <sheets>
    <sheet name="Salary Management System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V2" i="1" l="1"/>
  <c r="CU2" i="1"/>
  <c r="CW2" i="1" l="1"/>
  <c r="CS2" i="1"/>
  <c r="CR2" i="1"/>
  <c r="CP2" i="1"/>
  <c r="CN2" i="1"/>
  <c r="CM2" i="1"/>
  <c r="CL2" i="1"/>
  <c r="CK2" i="1"/>
  <c r="CO2" i="1" l="1"/>
  <c r="CT2" i="1"/>
  <c r="CX2" i="1" s="1"/>
  <c r="CD2" i="1"/>
  <c r="BZ2" i="1"/>
  <c r="BY2" i="1"/>
  <c r="BX2" i="1"/>
  <c r="BW2" i="1"/>
  <c r="BV2" i="1"/>
  <c r="BU2" i="1"/>
  <c r="BT2" i="1"/>
  <c r="BS2" i="1"/>
  <c r="BR2" i="1"/>
  <c r="BQ2" i="1"/>
  <c r="BP2" i="1"/>
  <c r="BO2" i="1"/>
  <c r="BN2" i="1"/>
  <c r="BM2" i="1"/>
  <c r="CE2" i="1" s="1"/>
  <c r="CC2" i="1" l="1"/>
  <c r="CF2" i="1"/>
  <c r="CG2" i="1"/>
  <c r="CH2" i="1"/>
  <c r="CI2" i="1"/>
  <c r="CA2" i="1"/>
  <c r="CB2" i="1"/>
  <c r="CJ2" i="1" l="1"/>
  <c r="CQ2" i="1" s="1"/>
  <c r="CY2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  <author>hures greatwall</author>
    <author>Tony</author>
  </authors>
  <commentList>
    <comment ref="AE1" authorId="0" shapeId="0" xr:uid="{434A8BB5-584D-43BE-AE30-E55132900353}">
      <text>
        <r>
          <rPr>
            <b/>
            <sz val="11"/>
            <color indexed="81"/>
            <rFont val="Tahoma"/>
            <family val="2"/>
          </rPr>
          <t>Work in Office</t>
        </r>
      </text>
    </comment>
    <comment ref="AF1" authorId="0" shapeId="0" xr:uid="{2FD8F911-45AB-4E45-A9B3-AEB5FC6658C5}">
      <text>
        <r>
          <rPr>
            <b/>
            <sz val="11"/>
            <color indexed="81"/>
            <rFont val="Tahoma"/>
            <family val="2"/>
          </rPr>
          <t>Work In Location</t>
        </r>
      </text>
    </comment>
    <comment ref="AG1" authorId="0" shapeId="0" xr:uid="{E6A300D3-AF4D-4FE3-9A79-D5C3EB19F2AC}">
      <text>
        <r>
          <rPr>
            <b/>
            <sz val="11"/>
            <color indexed="81"/>
            <rFont val="Tahoma"/>
            <family val="2"/>
          </rPr>
          <t>On with additional Meal Allowance (100.000)</t>
        </r>
      </text>
    </comment>
    <comment ref="AH1" authorId="0" shapeId="0" xr:uid="{949F704B-E7B9-4D9C-B863-5CD8DA550F0D}">
      <text>
        <r>
          <rPr>
            <b/>
            <sz val="11"/>
            <color indexed="81"/>
            <rFont val="Tahoma"/>
            <family val="2"/>
          </rPr>
          <t xml:space="preserve">Overtime Office Staff and Duribase
</t>
        </r>
      </text>
    </comment>
    <comment ref="AI1" authorId="1" shapeId="0" xr:uid="{55D0BE49-663B-4BB3-AEE7-22088156B0CC}">
      <text>
        <r>
          <rPr>
            <b/>
            <sz val="9"/>
            <color indexed="81"/>
            <rFont val="Tahoma"/>
            <family val="2"/>
          </rPr>
          <t>hures greatwall:</t>
        </r>
        <r>
          <rPr>
            <sz val="9"/>
            <color indexed="81"/>
            <rFont val="Tahoma"/>
            <family val="2"/>
          </rPr>
          <t xml:space="preserve">
Overtime Crew PHR
</t>
        </r>
      </text>
    </comment>
    <comment ref="AJ1" authorId="0" shapeId="0" xr:uid="{2D77DADA-394C-436E-BB86-5FED67362195}">
      <text>
        <r>
          <rPr>
            <b/>
            <sz val="11"/>
            <color indexed="81"/>
            <rFont val="Tahoma"/>
            <family val="2"/>
          </rPr>
          <t>Business Trip</t>
        </r>
      </text>
    </comment>
    <comment ref="AK1" authorId="0" shapeId="0" xr:uid="{6A5CDCB7-F1B0-4ACC-80A1-75BC341C5DCA}">
      <text>
        <r>
          <rPr>
            <b/>
            <sz val="11"/>
            <color indexed="81"/>
            <rFont val="Tahoma"/>
            <family val="2"/>
          </rPr>
          <t>Travel</t>
        </r>
      </text>
    </comment>
    <comment ref="AL1" authorId="0" shapeId="0" xr:uid="{2CED271F-6F40-49F7-A2EE-46B06FE77072}">
      <text>
        <r>
          <rPr>
            <b/>
            <sz val="11"/>
            <color indexed="81"/>
            <rFont val="Tahoma"/>
            <family val="2"/>
          </rPr>
          <t>Travel and Transport</t>
        </r>
      </text>
    </comment>
    <comment ref="AM1" authorId="0" shapeId="0" xr:uid="{89FB59D3-8903-416D-9751-15856BBB07B4}">
      <text>
        <r>
          <rPr>
            <b/>
            <sz val="11"/>
            <color indexed="81"/>
            <rFont val="Tahoma"/>
            <family val="2"/>
          </rPr>
          <t xml:space="preserve">Annual Leave </t>
        </r>
        <r>
          <rPr>
            <b/>
            <sz val="11"/>
            <color indexed="81"/>
            <rFont val="宋体"/>
            <family val="3"/>
            <charset val="134"/>
          </rPr>
          <t>年假</t>
        </r>
      </text>
    </comment>
    <comment ref="AO1" authorId="1" shapeId="0" xr:uid="{29A4FA2F-291D-4081-BB5E-49E76A15C948}">
      <text>
        <r>
          <rPr>
            <b/>
            <sz val="9"/>
            <color indexed="81"/>
            <rFont val="Tahoma"/>
            <family val="2"/>
          </rPr>
          <t>hures greatwall:</t>
        </r>
        <r>
          <rPr>
            <sz val="9"/>
            <color indexed="81"/>
            <rFont val="Tahoma"/>
            <family val="2"/>
          </rPr>
          <t xml:space="preserve">
Training Allowance Offshore
</t>
        </r>
      </text>
    </comment>
    <comment ref="AP1" authorId="1" shapeId="0" xr:uid="{638FCDA4-8373-4818-A2B4-6455BAF012F3}">
      <text>
        <r>
          <rPr>
            <b/>
            <sz val="9"/>
            <color indexed="81"/>
            <rFont val="Tahoma"/>
            <family val="2"/>
          </rPr>
          <t>hures greatwall:</t>
        </r>
        <r>
          <rPr>
            <sz val="9"/>
            <color indexed="81"/>
            <rFont val="Tahoma"/>
            <family val="2"/>
          </rPr>
          <t xml:space="preserve">
Standby - Personal Leave
</t>
        </r>
      </text>
    </comment>
    <comment ref="AQ1" authorId="1" shapeId="0" xr:uid="{1F1CA5A5-6F64-4FC7-8DFA-73D65A767F45}">
      <text>
        <r>
          <rPr>
            <b/>
            <sz val="9"/>
            <color indexed="81"/>
            <rFont val="Tahoma"/>
            <family val="2"/>
          </rPr>
          <t>hures greatwall:</t>
        </r>
        <r>
          <rPr>
            <sz val="9"/>
            <color indexed="81"/>
            <rFont val="Tahoma"/>
            <family val="2"/>
          </rPr>
          <t xml:space="preserve">
Long Shift</t>
        </r>
      </text>
    </comment>
    <comment ref="AR1" authorId="2" shapeId="0" xr:uid="{D6449A3E-3FF9-43D9-B647-B1773D0AA12D}">
      <text>
        <r>
          <rPr>
            <sz val="9"/>
            <color indexed="81"/>
            <rFont val="宋体"/>
            <family val="3"/>
            <charset val="134"/>
          </rPr>
          <t xml:space="preserve">
(Quarantine)</t>
        </r>
      </text>
    </comment>
    <comment ref="AS1" authorId="2" shapeId="0" xr:uid="{964E3B5C-9F7F-4E59-81C4-CECC8E31CB8D}">
      <text>
        <r>
          <rPr>
            <b/>
            <sz val="9"/>
            <color indexed="81"/>
            <rFont val="宋体"/>
            <family val="3"/>
            <charset val="134"/>
          </rPr>
          <t>Tony:</t>
        </r>
        <r>
          <rPr>
            <sz val="9"/>
            <color indexed="81"/>
            <rFont val="宋体"/>
            <family val="3"/>
            <charset val="134"/>
          </rPr>
          <t xml:space="preserve">
居家办公</t>
        </r>
      </text>
    </comment>
    <comment ref="AT1" authorId="0" shapeId="0" xr:uid="{06C0648D-C595-4C66-B0CF-F40E7AFC215A}">
      <text>
        <r>
          <rPr>
            <b/>
            <sz val="11"/>
            <color indexed="81"/>
            <rFont val="Tahoma"/>
            <family val="2"/>
          </rPr>
          <t xml:space="preserve">Personal Leave </t>
        </r>
        <r>
          <rPr>
            <b/>
            <sz val="11"/>
            <color indexed="81"/>
            <rFont val="宋体"/>
            <family val="3"/>
            <charset val="134"/>
          </rPr>
          <t>事假</t>
        </r>
      </text>
    </comment>
    <comment ref="AU1" authorId="0" shapeId="0" xr:uid="{AE5724A5-6387-48CD-BED4-1FF0FCCB287C}">
      <text>
        <r>
          <rPr>
            <b/>
            <sz val="11"/>
            <color indexed="81"/>
            <rFont val="Tahoma"/>
            <family val="2"/>
          </rPr>
          <t>Late</t>
        </r>
      </text>
    </comment>
    <comment ref="AV1" authorId="2" shapeId="0" xr:uid="{88C48735-3D59-42ED-8536-EAA253119B8E}">
      <text>
        <r>
          <rPr>
            <b/>
            <sz val="9"/>
            <color indexed="81"/>
            <rFont val="宋体"/>
            <family val="3"/>
            <charset val="134"/>
          </rPr>
          <t>Tony:</t>
        </r>
        <r>
          <rPr>
            <sz val="9"/>
            <color indexed="81"/>
            <rFont val="宋体"/>
            <family val="3"/>
            <charset val="134"/>
          </rPr>
          <t xml:space="preserve">
(sick with notes)</t>
        </r>
      </text>
    </comment>
    <comment ref="AW1" authorId="2" shapeId="0" xr:uid="{9C44E15B-404D-4720-8FFB-CF576DF0635A}">
      <text>
        <r>
          <rPr>
            <b/>
            <sz val="9"/>
            <color indexed="81"/>
            <rFont val="宋体"/>
            <family val="3"/>
            <charset val="134"/>
          </rPr>
          <t>Tony:</t>
        </r>
        <r>
          <rPr>
            <sz val="9"/>
            <color indexed="81"/>
            <rFont val="宋体"/>
            <family val="3"/>
            <charset val="134"/>
          </rPr>
          <t xml:space="preserve">
(SICK without notes)</t>
        </r>
      </text>
    </comment>
    <comment ref="AX1" authorId="2" shapeId="0" xr:uid="{D8A98DA5-DDB5-480C-AD74-4C73854938FA}">
      <text>
        <r>
          <rPr>
            <b/>
            <sz val="9"/>
            <color indexed="81"/>
            <rFont val="宋体"/>
            <family val="3"/>
            <charset val="134"/>
          </rPr>
          <t>Tony:</t>
        </r>
        <r>
          <rPr>
            <sz val="9"/>
            <color indexed="81"/>
            <rFont val="宋体"/>
            <family val="3"/>
            <charset val="134"/>
          </rPr>
          <t xml:space="preserve">
(CALL OUT )</t>
        </r>
      </text>
    </comment>
    <comment ref="AY1" authorId="2" shapeId="0" xr:uid="{5B8CAB7D-274A-4D0E-B2D7-139AD7990EA7}">
      <text>
        <r>
          <rPr>
            <b/>
            <sz val="9"/>
            <color indexed="81"/>
            <rFont val="宋体"/>
            <family val="3"/>
            <charset val="134"/>
          </rPr>
          <t>Tony:</t>
        </r>
        <r>
          <rPr>
            <sz val="9"/>
            <color indexed="81"/>
            <rFont val="宋体"/>
            <family val="3"/>
            <charset val="134"/>
          </rPr>
          <t xml:space="preserve">
(PERMISION)</t>
        </r>
      </text>
    </comment>
    <comment ref="AZ1" authorId="1" shapeId="0" xr:uid="{FAFA20D9-7AB5-48DD-A7B1-B012EE008B76}">
      <text>
        <r>
          <rPr>
            <b/>
            <sz val="9"/>
            <color indexed="81"/>
            <rFont val="Tahoma"/>
            <family val="2"/>
          </rPr>
          <t>hures greatwall:</t>
        </r>
        <r>
          <rPr>
            <sz val="9"/>
            <color indexed="81"/>
            <rFont val="Tahoma"/>
            <family val="2"/>
          </rPr>
          <t xml:space="preserve">
Not Attend</t>
        </r>
      </text>
    </comment>
    <comment ref="BL1" authorId="2" shapeId="0" xr:uid="{96FFB0DF-D82D-4A5E-B8B4-1D50BE4E7D63}">
      <text>
        <r>
          <rPr>
            <b/>
            <sz val="9"/>
            <color indexed="81"/>
            <rFont val="宋体"/>
            <family val="3"/>
            <charset val="134"/>
          </rPr>
          <t>58岁就不交保险了，明去具体哪些保险不交了</t>
        </r>
      </text>
    </comment>
  </commentList>
</comments>
</file>

<file path=xl/sharedStrings.xml><?xml version="1.0" encoding="utf-8"?>
<sst xmlns="http://schemas.openxmlformats.org/spreadsheetml/2006/main" count="107" uniqueCount="106">
  <si>
    <t>No</t>
  </si>
  <si>
    <t>Project_Name</t>
  </si>
  <si>
    <t>Employee_Name</t>
  </si>
  <si>
    <t>Employee_Id</t>
    <phoneticPr fontId="3" type="noConversion"/>
  </si>
  <si>
    <t>Tax_Status</t>
    <phoneticPr fontId="1" type="noConversion"/>
  </si>
  <si>
    <t>BPJS_Health_Tambahan_Status</t>
    <phoneticPr fontId="1" type="noConversion"/>
  </si>
  <si>
    <t>Position</t>
  </si>
  <si>
    <t>Join_Date</t>
    <phoneticPr fontId="3" type="noConversion"/>
  </si>
  <si>
    <t>date_of_birth</t>
    <phoneticPr fontId="3" type="noConversion"/>
  </si>
  <si>
    <t>Basic_Salary/Month</t>
    <phoneticPr fontId="3" type="noConversion"/>
  </si>
  <si>
    <t>Post/Function_alw/Month</t>
    <phoneticPr fontId="3" type="noConversion"/>
  </si>
  <si>
    <t>Phone_Alw/Month</t>
    <phoneticPr fontId="3" type="noConversion"/>
  </si>
  <si>
    <t>Internet_Alw/Month</t>
    <phoneticPr fontId="3" type="noConversion"/>
  </si>
  <si>
    <t>Incentive/Month</t>
    <phoneticPr fontId="1" type="noConversion"/>
  </si>
  <si>
    <t>Operational_Alw/Month</t>
    <phoneticPr fontId="3" type="noConversion"/>
  </si>
  <si>
    <t>Housing_Alw/Month</t>
    <phoneticPr fontId="1" type="noConversion"/>
  </si>
  <si>
    <t>Seniority_Alw/Month</t>
    <phoneticPr fontId="3" type="noConversion"/>
  </si>
  <si>
    <t>Transport_Alw/Month</t>
    <phoneticPr fontId="3" type="noConversion"/>
  </si>
  <si>
    <t>Field_Alw/Month</t>
    <phoneticPr fontId="3" type="noConversion"/>
  </si>
  <si>
    <t>Accomodation_alw/Month</t>
    <phoneticPr fontId="1" type="noConversion"/>
  </si>
  <si>
    <t>Work/day</t>
    <phoneticPr fontId="1" type="noConversion"/>
  </si>
  <si>
    <t>On/day</t>
    <phoneticPr fontId="1" type="noConversion"/>
  </si>
  <si>
    <t>BT/day</t>
    <phoneticPr fontId="3" type="noConversion"/>
  </si>
  <si>
    <t>OA/Day</t>
    <phoneticPr fontId="3" type="noConversion"/>
  </si>
  <si>
    <t>Travell/Day</t>
    <phoneticPr fontId="1" type="noConversion"/>
  </si>
  <si>
    <t>ST/day</t>
    <phoneticPr fontId="3" type="noConversion"/>
  </si>
  <si>
    <t>TR/day</t>
    <phoneticPr fontId="3" type="noConversion"/>
  </si>
  <si>
    <t>W</t>
  </si>
  <si>
    <t xml:space="preserve"> On </t>
    <phoneticPr fontId="5" type="noConversion"/>
  </si>
  <si>
    <t>OS/OA</t>
    <phoneticPr fontId="1" type="noConversion"/>
  </si>
  <si>
    <t>OT</t>
  </si>
  <si>
    <t>OVT</t>
  </si>
  <si>
    <t>BT</t>
    <phoneticPr fontId="5" type="noConversion"/>
  </si>
  <si>
    <t>T</t>
  </si>
  <si>
    <t>AL</t>
    <phoneticPr fontId="1" type="noConversion"/>
  </si>
  <si>
    <t>ROT</t>
    <phoneticPr fontId="1" type="noConversion"/>
  </si>
  <si>
    <t>TR</t>
    <phoneticPr fontId="1" type="noConversion"/>
  </si>
  <si>
    <t>ST</t>
  </si>
  <si>
    <t>LS</t>
  </si>
  <si>
    <t>Q</t>
    <phoneticPr fontId="5" type="noConversion"/>
  </si>
  <si>
    <t>WFH</t>
    <phoneticPr fontId="5" type="noConversion"/>
  </si>
  <si>
    <t>PL</t>
  </si>
  <si>
    <t>L</t>
  </si>
  <si>
    <t>SC</t>
    <phoneticPr fontId="5" type="noConversion"/>
  </si>
  <si>
    <t>SC1</t>
    <phoneticPr fontId="5" type="noConversion"/>
  </si>
  <si>
    <t>CO</t>
    <phoneticPr fontId="5" type="noConversion"/>
  </si>
  <si>
    <t>PM</t>
    <phoneticPr fontId="5" type="noConversion"/>
  </si>
  <si>
    <t>NA</t>
  </si>
  <si>
    <t>OFF</t>
  </si>
  <si>
    <t>THR</t>
    <phoneticPr fontId="1" type="noConversion"/>
  </si>
  <si>
    <t>Rapel</t>
    <phoneticPr fontId="1" type="noConversion"/>
  </si>
  <si>
    <t>Tax_Alw</t>
    <phoneticPr fontId="1" type="noConversion"/>
  </si>
  <si>
    <t>Tax_Ded</t>
    <phoneticPr fontId="1" type="noConversion"/>
  </si>
  <si>
    <t>Late_Ded</t>
    <phoneticPr fontId="1" type="noConversion"/>
  </si>
  <si>
    <t>Salary_Ded</t>
    <phoneticPr fontId="1" type="noConversion"/>
  </si>
  <si>
    <t>Other_Add</t>
    <phoneticPr fontId="1" type="noConversion"/>
  </si>
  <si>
    <t>Other_Ded</t>
    <phoneticPr fontId="1" type="noConversion"/>
  </si>
  <si>
    <t>Salary_Prorate</t>
    <phoneticPr fontId="1" type="noConversion"/>
  </si>
  <si>
    <t>Acting_Allowance</t>
    <phoneticPr fontId="1" type="noConversion"/>
  </si>
  <si>
    <t>固定信息</t>
    <phoneticPr fontId="1" type="noConversion"/>
  </si>
  <si>
    <t>考勤</t>
    <phoneticPr fontId="1" type="noConversion"/>
  </si>
  <si>
    <t>偶发</t>
    <phoneticPr fontId="1" type="noConversion"/>
  </si>
  <si>
    <t>计算部分</t>
    <phoneticPr fontId="1" type="noConversion"/>
  </si>
  <si>
    <t>Age</t>
    <phoneticPr fontId="1" type="noConversion"/>
  </si>
  <si>
    <t>Total_Fixed_Alw</t>
    <phoneticPr fontId="1" type="noConversion"/>
  </si>
  <si>
    <t>Work_Alw</t>
    <phoneticPr fontId="1" type="noConversion"/>
  </si>
  <si>
    <t>On_Alw</t>
    <phoneticPr fontId="1" type="noConversion"/>
  </si>
  <si>
    <t>BT_Alw</t>
    <phoneticPr fontId="1" type="noConversion"/>
  </si>
  <si>
    <t>OS/OA_Alw</t>
    <phoneticPr fontId="1" type="noConversion"/>
  </si>
  <si>
    <t>OT_Alw</t>
    <phoneticPr fontId="1" type="noConversion"/>
  </si>
  <si>
    <t>OVT _Alw</t>
    <phoneticPr fontId="1" type="noConversion"/>
  </si>
  <si>
    <t>T_Alw</t>
    <phoneticPr fontId="1" type="noConversion"/>
  </si>
  <si>
    <t>TNT_Alw</t>
    <phoneticPr fontId="1" type="noConversion"/>
  </si>
  <si>
    <t>ROT_Alw</t>
    <phoneticPr fontId="1" type="noConversion"/>
  </si>
  <si>
    <t>ST_Alw</t>
    <phoneticPr fontId="1" type="noConversion"/>
  </si>
  <si>
    <t>LS_Alw</t>
    <phoneticPr fontId="1" type="noConversion"/>
  </si>
  <si>
    <t>TNT</t>
    <phoneticPr fontId="1" type="noConversion"/>
  </si>
  <si>
    <t>TNT/Day</t>
    <phoneticPr fontId="3" type="noConversion"/>
  </si>
  <si>
    <t>AL_Alw</t>
    <phoneticPr fontId="1" type="noConversion"/>
  </si>
  <si>
    <t>Total_Non_Fixed_Alw</t>
    <phoneticPr fontId="1" type="noConversion"/>
  </si>
  <si>
    <t>TR_Alw</t>
    <phoneticPr fontId="1" type="noConversion"/>
  </si>
  <si>
    <t>Bonus</t>
    <phoneticPr fontId="1" type="noConversion"/>
  </si>
  <si>
    <t>Compensation</t>
    <phoneticPr fontId="1" type="noConversion"/>
  </si>
  <si>
    <t>Q_Ded</t>
    <phoneticPr fontId="1" type="noConversion"/>
  </si>
  <si>
    <t>PL_Ded</t>
    <phoneticPr fontId="1" type="noConversion"/>
  </si>
  <si>
    <t>SC_Ded</t>
    <phoneticPr fontId="1" type="noConversion"/>
  </si>
  <si>
    <t>SC1_Ded</t>
    <phoneticPr fontId="1" type="noConversion"/>
  </si>
  <si>
    <t>CO_Ded</t>
    <phoneticPr fontId="1" type="noConversion"/>
  </si>
  <si>
    <t>PM_Ded</t>
    <phoneticPr fontId="1" type="noConversion"/>
  </si>
  <si>
    <t>NA_Ded</t>
    <phoneticPr fontId="1" type="noConversion"/>
  </si>
  <si>
    <t>JKK_Alw</t>
    <phoneticPr fontId="1" type="noConversion"/>
  </si>
  <si>
    <t>JHT_Alw</t>
    <phoneticPr fontId="1" type="noConversion"/>
  </si>
  <si>
    <t>JKM_Alw</t>
    <phoneticPr fontId="1" type="noConversion"/>
  </si>
  <si>
    <t>JP_Alw</t>
    <phoneticPr fontId="1" type="noConversion"/>
  </si>
  <si>
    <t>BPJS_Manpower_Alw</t>
    <phoneticPr fontId="1" type="noConversion"/>
  </si>
  <si>
    <t>BPJS_Health_Alw</t>
    <phoneticPr fontId="1" type="noConversion"/>
  </si>
  <si>
    <t>Gross_Salary</t>
    <phoneticPr fontId="1" type="noConversion"/>
  </si>
  <si>
    <t>JHT_Ded</t>
    <phoneticPr fontId="1" type="noConversion"/>
  </si>
  <si>
    <t>JP_Ded</t>
    <phoneticPr fontId="1" type="noConversion"/>
  </si>
  <si>
    <t>BPJS_Work_Ded</t>
    <phoneticPr fontId="1" type="noConversion"/>
  </si>
  <si>
    <t>BPJS_Health_Ded</t>
    <phoneticPr fontId="1" type="noConversion"/>
  </si>
  <si>
    <t>BPJS_Health_Tambahan</t>
    <phoneticPr fontId="1" type="noConversion"/>
  </si>
  <si>
    <t>Total_Deduction</t>
    <phoneticPr fontId="1" type="noConversion"/>
  </si>
  <si>
    <t>Final_Staff_Receive</t>
    <phoneticPr fontId="1" type="noConversion"/>
  </si>
  <si>
    <t>Resign</t>
    <phoneticPr fontId="3" type="noConversion"/>
  </si>
  <si>
    <t>Email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</si>
</sst>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8"/>
      <color theme="1"/>
      <name val="Book Antiqua"/>
      <family val="1"/>
    </font>
    <font>
      <sz val="9"/>
      <name val="等线"/>
      <family val="3"/>
      <charset val="134"/>
      <scheme val="minor"/>
    </font>
    <font>
      <b/>
      <sz val="8"/>
      <name val="Book Antiqua"/>
      <family val="1"/>
    </font>
    <font>
      <sz val="9"/>
      <name val="宋体"/>
      <family val="3"/>
      <charset val="134"/>
    </font>
    <font>
      <sz val="8"/>
      <name val="Book Antiqua"/>
      <family val="1"/>
    </font>
    <font>
      <b/>
      <sz val="11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color indexed="81"/>
      <name val="宋体"/>
      <family val="3"/>
      <charset val="134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  <font>
      <sz val="8"/>
      <color theme="1"/>
      <name val="等线"/>
      <family val="2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49" fontId="2" fillId="2" borderId="1" xfId="0" applyNumberFormat="1" applyFont="1" applyFill="1" applyBorder="1" applyAlignment="1">
      <alignment horizontal="center" vertical="center" wrapText="1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0" fontId="0" fillId="4" borderId="0" xfId="0" applyFill="1">
      <alignment vertical="center"/>
    </xf>
    <xf numFmtId="0" fontId="0" fillId="5" borderId="0" xfId="0" applyFill="1">
      <alignment vertical="center"/>
    </xf>
    <xf numFmtId="0" fontId="4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13" fillId="0" borderId="1" xfId="0" applyFont="1" applyBorder="1">
      <alignment vertical="center"/>
    </xf>
    <xf numFmtId="0" fontId="13" fillId="0" borderId="0" xfId="0" applyFont="1">
      <alignment vertical="center"/>
    </xf>
    <xf numFmtId="0" fontId="2" fillId="6" borderId="1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C2A4B3-76D5-47A6-904B-3C760CE93297}">
  <dimension ref="A1:CY10"/>
  <sheetViews>
    <sheetView tabSelected="1" workbookViewId="0">
      <selection activeCell="M8" sqref="M8"/>
    </sheetView>
  </sheetViews>
  <sheetFormatPr defaultRowHeight="14.25" x14ac:dyDescent="0.65"/>
  <cols>
    <col min="1" max="1" width="3.60546875" customWidth="1"/>
    <col min="5" max="5" width="7.43359375" bestFit="1" customWidth="1"/>
    <col min="7" max="7" width="5.6484375" bestFit="1" customWidth="1"/>
    <col min="8" max="8" width="6.6953125" bestFit="1" customWidth="1"/>
    <col min="9" max="9" width="6.6953125" customWidth="1"/>
    <col min="21" max="21" width="7.953125" bestFit="1" customWidth="1"/>
    <col min="23" max="23" width="7.34765625" bestFit="1" customWidth="1"/>
    <col min="24" max="24" width="5.78125" bestFit="1" customWidth="1"/>
    <col min="25" max="25" width="5.60546875" bestFit="1" customWidth="1"/>
    <col min="26" max="26" width="6.2578125" bestFit="1" customWidth="1"/>
    <col min="27" max="27" width="8.43359375" bestFit="1" customWidth="1"/>
    <col min="28" max="28" width="6.6484375" bestFit="1" customWidth="1"/>
    <col min="29" max="29" width="5.4765625" bestFit="1" customWidth="1"/>
    <col min="30" max="30" width="5.6484375" bestFit="1" customWidth="1"/>
    <col min="31" max="31" width="2.0859375" bestFit="1" customWidth="1"/>
    <col min="32" max="32" width="3.43359375" bestFit="1" customWidth="1"/>
    <col min="33" max="33" width="5.390625" bestFit="1" customWidth="1"/>
    <col min="34" max="34" width="2.78125" bestFit="1" customWidth="1"/>
    <col min="35" max="35" width="3.6484375" bestFit="1" customWidth="1"/>
    <col min="36" max="36" width="2.51953125" bestFit="1" customWidth="1"/>
    <col min="37" max="37" width="1.60546875" bestFit="1" customWidth="1"/>
    <col min="38" max="38" width="3.390625" bestFit="1" customWidth="1"/>
    <col min="39" max="39" width="2.6484375" bestFit="1" customWidth="1"/>
    <col min="40" max="40" width="3.78125" bestFit="1" customWidth="1"/>
    <col min="41" max="41" width="2.4765625" bestFit="1" customWidth="1"/>
    <col min="42" max="43" width="2.30078125" bestFit="1" customWidth="1"/>
    <col min="44" max="44" width="1.8671875" bestFit="1" customWidth="1"/>
    <col min="45" max="45" width="4.04296875" bestFit="1" customWidth="1"/>
    <col min="46" max="46" width="2.43359375" bestFit="1" customWidth="1"/>
    <col min="47" max="47" width="1.5625" bestFit="1" customWidth="1"/>
    <col min="48" max="48" width="2.5625" bestFit="1" customWidth="1"/>
    <col min="49" max="49" width="3.2578125" bestFit="1" customWidth="1"/>
    <col min="50" max="50" width="2.8671875" bestFit="1" customWidth="1"/>
    <col min="51" max="52" width="2.953125" bestFit="1" customWidth="1"/>
    <col min="53" max="53" width="3.43359375" bestFit="1" customWidth="1"/>
    <col min="54" max="54" width="3.6484375" bestFit="1" customWidth="1"/>
    <col min="55" max="55" width="4.5625" bestFit="1" customWidth="1"/>
    <col min="56" max="56" width="8.0859375" bestFit="1" customWidth="1"/>
    <col min="57" max="57" width="8.12890625" bestFit="1" customWidth="1"/>
    <col min="58" max="58" width="8.6484375" bestFit="1" customWidth="1"/>
    <col min="59" max="59" width="4.171875" bestFit="1" customWidth="1"/>
    <col min="60" max="60" width="6.34765625" bestFit="1" customWidth="1"/>
    <col min="61" max="61" width="6.30078125" bestFit="1" customWidth="1"/>
    <col min="62" max="62" width="7.78125" bestFit="1" customWidth="1"/>
    <col min="63" max="63" width="7.5625" bestFit="1" customWidth="1"/>
    <col min="64" max="64" width="3.21484375" bestFit="1" customWidth="1"/>
    <col min="65" max="65" width="11.390625" bestFit="1" customWidth="1"/>
    <col min="66" max="66" width="7.51953125" bestFit="1" customWidth="1"/>
    <col min="67" max="67" width="5.953125" bestFit="1" customWidth="1"/>
    <col min="68" max="68" width="8.60546875" customWidth="1"/>
    <col min="69" max="69" width="6" bestFit="1" customWidth="1"/>
    <col min="70" max="70" width="7.34765625" bestFit="1" customWidth="1"/>
    <col min="71" max="71" width="5.78125" bestFit="1" customWidth="1"/>
    <col min="72" max="72" width="4.91015625" bestFit="1" customWidth="1"/>
    <col min="73" max="73" width="6.953125" bestFit="1" customWidth="1"/>
    <col min="74" max="74" width="6" bestFit="1" customWidth="1"/>
    <col min="75" max="75" width="6.91015625" bestFit="1" customWidth="1"/>
    <col min="76" max="76" width="5.82421875" bestFit="1" customWidth="1"/>
    <col min="77" max="78" width="5.6484375" bestFit="1" customWidth="1"/>
    <col min="80" max="80" width="5.0859375" bestFit="1" customWidth="1"/>
    <col min="81" max="81" width="5.6953125" bestFit="1" customWidth="1"/>
    <col min="82" max="82" width="6.6484375" bestFit="1" customWidth="1"/>
    <col min="83" max="83" width="5.73828125" bestFit="1" customWidth="1"/>
    <col min="84" max="84" width="6.43359375" bestFit="1" customWidth="1"/>
    <col min="85" max="85" width="6.0859375" bestFit="1" customWidth="1"/>
    <col min="86" max="86" width="6.12890625" bestFit="1" customWidth="1"/>
    <col min="87" max="87" width="6.2578125" bestFit="1" customWidth="1"/>
    <col min="88" max="88" width="7.8671875" bestFit="1" customWidth="1"/>
    <col min="89" max="89" width="6.51953125" bestFit="1" customWidth="1"/>
    <col min="90" max="90" width="6.82421875" bestFit="1" customWidth="1"/>
    <col min="91" max="91" width="6.5625" bestFit="1" customWidth="1"/>
    <col min="92" max="92" width="5.34765625" bestFit="1" customWidth="1"/>
  </cols>
  <sheetData>
    <row r="1" spans="1:103" ht="33" x14ac:dyDescent="0.65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2" t="s">
        <v>6</v>
      </c>
      <c r="H1" s="3" t="s">
        <v>7</v>
      </c>
      <c r="I1" s="3" t="s">
        <v>104</v>
      </c>
      <c r="J1" s="3" t="s">
        <v>8</v>
      </c>
      <c r="K1" s="3" t="s">
        <v>105</v>
      </c>
      <c r="L1" s="2" t="s">
        <v>9</v>
      </c>
      <c r="M1" s="2" t="s">
        <v>10</v>
      </c>
      <c r="N1" s="2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" t="s">
        <v>16</v>
      </c>
      <c r="T1" s="2" t="s">
        <v>17</v>
      </c>
      <c r="U1" s="2" t="s">
        <v>18</v>
      </c>
      <c r="V1" s="2" t="s">
        <v>19</v>
      </c>
      <c r="W1" s="2" t="s">
        <v>20</v>
      </c>
      <c r="X1" s="2" t="s">
        <v>21</v>
      </c>
      <c r="Y1" s="2" t="s">
        <v>22</v>
      </c>
      <c r="Z1" s="2" t="s">
        <v>23</v>
      </c>
      <c r="AA1" s="2" t="s">
        <v>24</v>
      </c>
      <c r="AB1" s="2" t="s">
        <v>77</v>
      </c>
      <c r="AC1" s="2" t="s">
        <v>25</v>
      </c>
      <c r="AD1" s="1" t="s">
        <v>26</v>
      </c>
      <c r="AE1" s="8" t="s">
        <v>27</v>
      </c>
      <c r="AF1" s="8" t="s">
        <v>28</v>
      </c>
      <c r="AG1" s="8" t="s">
        <v>29</v>
      </c>
      <c r="AH1" s="8" t="s">
        <v>30</v>
      </c>
      <c r="AI1" s="9" t="s">
        <v>31</v>
      </c>
      <c r="AJ1" s="8" t="s">
        <v>32</v>
      </c>
      <c r="AK1" s="8" t="s">
        <v>33</v>
      </c>
      <c r="AL1" s="8" t="s">
        <v>76</v>
      </c>
      <c r="AM1" s="8" t="s">
        <v>34</v>
      </c>
      <c r="AN1" s="8" t="s">
        <v>35</v>
      </c>
      <c r="AO1" s="9" t="s">
        <v>36</v>
      </c>
      <c r="AP1" s="9" t="s">
        <v>37</v>
      </c>
      <c r="AQ1" s="9" t="s">
        <v>38</v>
      </c>
      <c r="AR1" s="8" t="s">
        <v>39</v>
      </c>
      <c r="AS1" s="8" t="s">
        <v>40</v>
      </c>
      <c r="AT1" s="8" t="s">
        <v>41</v>
      </c>
      <c r="AU1" s="8" t="s">
        <v>42</v>
      </c>
      <c r="AV1" s="8" t="s">
        <v>43</v>
      </c>
      <c r="AW1" s="8" t="s">
        <v>44</v>
      </c>
      <c r="AX1" s="8" t="s">
        <v>45</v>
      </c>
      <c r="AY1" s="8" t="s">
        <v>46</v>
      </c>
      <c r="AZ1" s="9" t="s">
        <v>47</v>
      </c>
      <c r="BA1" s="8" t="s">
        <v>48</v>
      </c>
      <c r="BB1" s="10" t="s">
        <v>49</v>
      </c>
      <c r="BC1" s="10" t="s">
        <v>81</v>
      </c>
      <c r="BD1" s="10" t="s">
        <v>82</v>
      </c>
      <c r="BE1" s="10" t="s">
        <v>58</v>
      </c>
      <c r="BF1" s="10" t="s">
        <v>57</v>
      </c>
      <c r="BG1" s="10" t="s">
        <v>50</v>
      </c>
      <c r="BH1" s="10" t="s">
        <v>51</v>
      </c>
      <c r="BI1" s="10" t="s">
        <v>52</v>
      </c>
      <c r="BJ1" s="10" t="s">
        <v>55</v>
      </c>
      <c r="BK1" s="10" t="s">
        <v>56</v>
      </c>
      <c r="BL1" s="11" t="s">
        <v>63</v>
      </c>
      <c r="BM1" s="15" t="s">
        <v>64</v>
      </c>
      <c r="BN1" s="11" t="s">
        <v>65</v>
      </c>
      <c r="BO1" s="11" t="s">
        <v>66</v>
      </c>
      <c r="BP1" s="11" t="s">
        <v>68</v>
      </c>
      <c r="BQ1" s="11" t="s">
        <v>69</v>
      </c>
      <c r="BR1" s="11" t="s">
        <v>70</v>
      </c>
      <c r="BS1" s="11" t="s">
        <v>67</v>
      </c>
      <c r="BT1" s="11" t="s">
        <v>71</v>
      </c>
      <c r="BU1" s="11" t="s">
        <v>72</v>
      </c>
      <c r="BV1" s="11" t="s">
        <v>78</v>
      </c>
      <c r="BW1" s="11" t="s">
        <v>73</v>
      </c>
      <c r="BX1" s="11" t="s">
        <v>80</v>
      </c>
      <c r="BY1" s="11" t="s">
        <v>74</v>
      </c>
      <c r="BZ1" s="11" t="s">
        <v>75</v>
      </c>
      <c r="CA1" s="15" t="s">
        <v>79</v>
      </c>
      <c r="CB1" s="11" t="s">
        <v>83</v>
      </c>
      <c r="CC1" s="11" t="s">
        <v>84</v>
      </c>
      <c r="CD1" s="12" t="s">
        <v>53</v>
      </c>
      <c r="CE1" s="12" t="s">
        <v>85</v>
      </c>
      <c r="CF1" s="12" t="s">
        <v>86</v>
      </c>
      <c r="CG1" s="12" t="s">
        <v>87</v>
      </c>
      <c r="CH1" s="12" t="s">
        <v>88</v>
      </c>
      <c r="CI1" s="12" t="s">
        <v>89</v>
      </c>
      <c r="CJ1" s="16" t="s">
        <v>54</v>
      </c>
      <c r="CK1" s="12" t="s">
        <v>90</v>
      </c>
      <c r="CL1" s="12" t="s">
        <v>92</v>
      </c>
      <c r="CM1" s="12" t="s">
        <v>91</v>
      </c>
      <c r="CN1" s="12" t="s">
        <v>93</v>
      </c>
      <c r="CO1" s="16" t="s">
        <v>94</v>
      </c>
      <c r="CP1" s="12" t="s">
        <v>95</v>
      </c>
      <c r="CQ1" s="16" t="s">
        <v>96</v>
      </c>
      <c r="CR1" s="12" t="s">
        <v>97</v>
      </c>
      <c r="CS1" s="12" t="s">
        <v>98</v>
      </c>
      <c r="CT1" s="16" t="s">
        <v>99</v>
      </c>
      <c r="CU1" s="12" t="s">
        <v>100</v>
      </c>
      <c r="CV1" s="12" t="s">
        <v>101</v>
      </c>
      <c r="CW1" s="16" t="s">
        <v>100</v>
      </c>
      <c r="CX1" s="16" t="s">
        <v>102</v>
      </c>
      <c r="CY1" s="16" t="s">
        <v>103</v>
      </c>
    </row>
    <row r="2" spans="1:103" s="14" customFormat="1" ht="10.5" customHeight="1" x14ac:dyDescent="0.65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>
        <f>SUM(L2,V2)</f>
        <v>0</v>
      </c>
      <c r="BN2" s="13">
        <f>W2*AE2</f>
        <v>0</v>
      </c>
      <c r="BO2" s="13">
        <f>AF2*X2+AF2*W2</f>
        <v>0</v>
      </c>
      <c r="BP2" s="13">
        <f>AG2*Z2+AG2*X2</f>
        <v>0</v>
      </c>
      <c r="BQ2" s="13">
        <f>AH2*L2*2/(30*8)</f>
        <v>0</v>
      </c>
      <c r="BR2" s="13">
        <f>AI2*L2*29/173</f>
        <v>0</v>
      </c>
      <c r="BS2" s="13">
        <f>AJ2*Y2+AJ2*X2+AJ2*W2</f>
        <v>0</v>
      </c>
      <c r="BT2" s="13">
        <f>AK2*AA2</f>
        <v>0</v>
      </c>
      <c r="BU2" s="13">
        <f>AL2*AB2</f>
        <v>0</v>
      </c>
      <c r="BV2" s="13">
        <f>AM2*W2</f>
        <v>0</v>
      </c>
      <c r="BW2" s="13">
        <f>AN2*L2*7.5/173</f>
        <v>0</v>
      </c>
      <c r="BX2" s="13">
        <f>AO2*AD2</f>
        <v>0</v>
      </c>
      <c r="BY2" s="13">
        <f>AP2*AC2</f>
        <v>0</v>
      </c>
      <c r="BZ2" s="13">
        <f>AQ2*L2*24/173</f>
        <v>0</v>
      </c>
      <c r="CA2" s="13">
        <f>SUM(BN2,BZ2)+SUM(BB2,BF2)+BJ2</f>
        <v>0</v>
      </c>
      <c r="CB2" s="13">
        <f>AR2*BM2/30</f>
        <v>0</v>
      </c>
      <c r="CC2" s="13">
        <f>AT2*BM2/30</f>
        <v>0</v>
      </c>
      <c r="CD2" s="13">
        <f>(AU2-3)*AA2</f>
        <v>0</v>
      </c>
      <c r="CE2" s="13">
        <f>AV2*BM2/30</f>
        <v>0</v>
      </c>
      <c r="CF2" s="13">
        <f>AW2*BM2/22</f>
        <v>0</v>
      </c>
      <c r="CG2" s="13">
        <f>AX2*BM2/30</f>
        <v>0</v>
      </c>
      <c r="CH2" s="13">
        <f>AY2*BM2/30</f>
        <v>0</v>
      </c>
      <c r="CI2" s="13">
        <f>AZ2*BM2/30</f>
        <v>0</v>
      </c>
      <c r="CJ2" s="13">
        <f>SUM(CB2,CI2)-BK2</f>
        <v>0</v>
      </c>
      <c r="CK2" s="13">
        <f>L2*1.74%</f>
        <v>0</v>
      </c>
      <c r="CL2" s="13">
        <f>L2*0.3%</f>
        <v>0</v>
      </c>
      <c r="CM2" s="13">
        <f>L2*3.7%</f>
        <v>0</v>
      </c>
      <c r="CN2" s="13">
        <f>(L2+BG2)*2%</f>
        <v>0</v>
      </c>
      <c r="CO2" s="13">
        <f>SUM(CK2,CN2)</f>
        <v>0</v>
      </c>
      <c r="CP2" s="13">
        <f>L2*4%</f>
        <v>0</v>
      </c>
      <c r="CQ2" s="13">
        <f>BM2+CA2+BH2-CJ2</f>
        <v>0</v>
      </c>
      <c r="CR2" s="13">
        <f>L2*2%</f>
        <v>0</v>
      </c>
      <c r="CS2" s="13">
        <f>(L2+BG2)*1%</f>
        <v>0</v>
      </c>
      <c r="CT2" s="13">
        <f>CR2+CS2</f>
        <v>0</v>
      </c>
      <c r="CU2" s="13">
        <f>L2*1%</f>
        <v>0</v>
      </c>
      <c r="CV2" s="13">
        <f>L2*F2</f>
        <v>0</v>
      </c>
      <c r="CW2" s="13">
        <f>CU2+CV2</f>
        <v>0</v>
      </c>
      <c r="CX2" s="13">
        <f>CT2+CW2+BI2</f>
        <v>0</v>
      </c>
      <c r="CY2" s="13">
        <f>CQ2-CX2</f>
        <v>0</v>
      </c>
    </row>
    <row r="3" spans="1:103" x14ac:dyDescent="0.65">
      <c r="B3">
        <v>1</v>
      </c>
      <c r="C3">
        <v>2</v>
      </c>
      <c r="D3">
        <v>3</v>
      </c>
      <c r="E3">
        <v>4</v>
      </c>
      <c r="F3">
        <v>5</v>
      </c>
      <c r="G3">
        <v>6</v>
      </c>
      <c r="H3">
        <v>7</v>
      </c>
      <c r="I3">
        <v>8</v>
      </c>
      <c r="J3">
        <v>9</v>
      </c>
      <c r="K3">
        <v>10</v>
      </c>
      <c r="L3">
        <v>1</v>
      </c>
      <c r="M3">
        <v>2</v>
      </c>
      <c r="N3">
        <v>3</v>
      </c>
      <c r="O3">
        <v>4</v>
      </c>
      <c r="P3">
        <v>5</v>
      </c>
      <c r="Q3">
        <v>6</v>
      </c>
      <c r="R3">
        <v>7</v>
      </c>
      <c r="S3">
        <v>8</v>
      </c>
      <c r="T3">
        <v>9</v>
      </c>
      <c r="U3">
        <v>10</v>
      </c>
      <c r="V3">
        <v>11</v>
      </c>
      <c r="W3">
        <v>1</v>
      </c>
      <c r="X3">
        <v>2</v>
      </c>
      <c r="Y3">
        <v>3</v>
      </c>
      <c r="Z3">
        <v>4</v>
      </c>
      <c r="AA3">
        <v>5</v>
      </c>
      <c r="AB3">
        <v>6</v>
      </c>
      <c r="AC3">
        <v>7</v>
      </c>
      <c r="AD3">
        <v>8</v>
      </c>
      <c r="AE3">
        <v>1</v>
      </c>
      <c r="AF3">
        <v>2</v>
      </c>
      <c r="AG3">
        <v>3</v>
      </c>
      <c r="AH3">
        <v>4</v>
      </c>
      <c r="AI3">
        <v>5</v>
      </c>
      <c r="AJ3">
        <v>6</v>
      </c>
      <c r="AK3">
        <v>7</v>
      </c>
      <c r="AL3">
        <v>8</v>
      </c>
      <c r="AM3">
        <v>9</v>
      </c>
      <c r="AN3">
        <v>10</v>
      </c>
      <c r="AO3">
        <v>11</v>
      </c>
      <c r="AP3">
        <v>12</v>
      </c>
      <c r="AQ3">
        <v>13</v>
      </c>
      <c r="AR3">
        <v>14</v>
      </c>
      <c r="AS3">
        <v>15</v>
      </c>
      <c r="AT3">
        <v>16</v>
      </c>
      <c r="AU3">
        <v>17</v>
      </c>
      <c r="AV3">
        <v>18</v>
      </c>
      <c r="AW3">
        <v>19</v>
      </c>
      <c r="AX3">
        <v>20</v>
      </c>
      <c r="AY3">
        <v>21</v>
      </c>
      <c r="AZ3">
        <v>22</v>
      </c>
      <c r="BA3">
        <v>23</v>
      </c>
      <c r="BB3">
        <v>1</v>
      </c>
      <c r="BC3">
        <v>2</v>
      </c>
      <c r="BD3">
        <v>3</v>
      </c>
      <c r="BE3">
        <v>4</v>
      </c>
      <c r="BF3">
        <v>5</v>
      </c>
      <c r="BG3">
        <v>6</v>
      </c>
      <c r="BH3">
        <v>7</v>
      </c>
      <c r="BI3">
        <v>8</v>
      </c>
      <c r="BJ3">
        <v>9</v>
      </c>
      <c r="BK3">
        <v>10</v>
      </c>
      <c r="BL3">
        <v>1</v>
      </c>
      <c r="BM3">
        <v>2</v>
      </c>
      <c r="BN3">
        <v>3</v>
      </c>
      <c r="BO3">
        <v>4</v>
      </c>
      <c r="BP3">
        <v>5</v>
      </c>
      <c r="BQ3">
        <v>6</v>
      </c>
      <c r="BR3">
        <v>7</v>
      </c>
      <c r="BS3">
        <v>8</v>
      </c>
      <c r="BT3">
        <v>9</v>
      </c>
      <c r="BU3">
        <v>10</v>
      </c>
      <c r="BV3">
        <v>11</v>
      </c>
      <c r="BW3">
        <v>12</v>
      </c>
      <c r="BX3">
        <v>13</v>
      </c>
      <c r="BY3">
        <v>14</v>
      </c>
      <c r="BZ3">
        <v>15</v>
      </c>
      <c r="CA3">
        <v>16</v>
      </c>
      <c r="CB3">
        <v>17</v>
      </c>
      <c r="CC3">
        <v>18</v>
      </c>
      <c r="CD3">
        <v>19</v>
      </c>
      <c r="CE3">
        <v>20</v>
      </c>
      <c r="CF3">
        <v>21</v>
      </c>
      <c r="CG3">
        <v>22</v>
      </c>
      <c r="CH3">
        <v>23</v>
      </c>
      <c r="CI3">
        <v>24</v>
      </c>
      <c r="CJ3">
        <v>25</v>
      </c>
      <c r="CK3">
        <v>26</v>
      </c>
      <c r="CL3">
        <v>27</v>
      </c>
      <c r="CM3">
        <v>28</v>
      </c>
      <c r="CN3">
        <v>29</v>
      </c>
      <c r="CO3">
        <v>30</v>
      </c>
      <c r="CP3">
        <v>31</v>
      </c>
      <c r="CQ3">
        <v>32</v>
      </c>
      <c r="CR3">
        <v>33</v>
      </c>
      <c r="CS3">
        <v>34</v>
      </c>
      <c r="CT3">
        <v>35</v>
      </c>
      <c r="CU3">
        <v>36</v>
      </c>
      <c r="CV3">
        <v>37</v>
      </c>
      <c r="CW3">
        <v>38</v>
      </c>
      <c r="CX3">
        <v>39</v>
      </c>
      <c r="CY3">
        <v>40</v>
      </c>
    </row>
    <row r="7" spans="1:103" x14ac:dyDescent="0.65">
      <c r="B7" s="4" t="s">
        <v>59</v>
      </c>
    </row>
    <row r="8" spans="1:103" x14ac:dyDescent="0.65">
      <c r="B8" s="5" t="s">
        <v>60</v>
      </c>
    </row>
    <row r="9" spans="1:103" x14ac:dyDescent="0.65">
      <c r="B9" s="6" t="s">
        <v>61</v>
      </c>
    </row>
    <row r="10" spans="1:103" x14ac:dyDescent="0.65">
      <c r="B10" s="7" t="s">
        <v>62</v>
      </c>
    </row>
  </sheetData>
  <phoneticPr fontId="1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Salary Management System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Tony</dc:creator>
  <cp:lastModifiedBy>Tony</cp:lastModifiedBy>
  <dcterms:created xsi:type="dcterms:W3CDTF">2026-05-28T03:04:45Z</dcterms:created>
  <dcterms:modified xsi:type="dcterms:W3CDTF">2026-05-28T06:20:22Z</dcterms:modified>
</cp:coreProperties>
</file>