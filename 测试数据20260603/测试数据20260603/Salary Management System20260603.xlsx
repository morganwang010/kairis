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16\code\react\kairis-gw\测试数据20260603\测试数据20260603\"/>
    </mc:Choice>
  </mc:AlternateContent>
  <xr:revisionPtr revIDLastSave="0" documentId="13_ncr:1_{DCA46C41-BA4A-4181-ADCE-1B7FDF94332C}" xr6:coauthVersionLast="47" xr6:coauthVersionMax="47" xr10:uidLastSave="{00000000-0000-0000-0000-000000000000}"/>
  <bookViews>
    <workbookView xWindow="-120" yWindow="-120" windowWidth="29040" windowHeight="15720" xr2:uid="{4155DEF2-3BAB-469C-9142-7F89D1D8BF38}"/>
  </bookViews>
  <sheets>
    <sheet name="Salary Management 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I3" i="1" l="1"/>
  <c r="CI4" i="1"/>
  <c r="CI5" i="1"/>
  <c r="CI2" i="1"/>
  <c r="BL3" i="1"/>
  <c r="CN3" i="1" s="1"/>
  <c r="BL4" i="1"/>
  <c r="CS4" i="1" s="1"/>
  <c r="BL5" i="1"/>
  <c r="CS5" i="1" s="1"/>
  <c r="BL2" i="1"/>
  <c r="CS2" i="1" s="1"/>
  <c r="CV3" i="1"/>
  <c r="CV4" i="1"/>
  <c r="CV5" i="1"/>
  <c r="CV2" i="1"/>
  <c r="CU2" i="1"/>
  <c r="CU3" i="1"/>
  <c r="CU4" i="1"/>
  <c r="CU5" i="1"/>
  <c r="CP3" i="1"/>
  <c r="CP4" i="1"/>
  <c r="CP5" i="1"/>
  <c r="CP2" i="1"/>
  <c r="CS3" i="1" l="1"/>
  <c r="CN5" i="1"/>
  <c r="CO5" i="1" s="1"/>
  <c r="CN4" i="1"/>
  <c r="CO4" i="1" s="1"/>
  <c r="CN2" i="1"/>
  <c r="CO2" i="1" s="1"/>
  <c r="CO3" i="1"/>
  <c r="CA3" i="1"/>
  <c r="CA4" i="1"/>
  <c r="CA5" i="1"/>
  <c r="CA2" i="1"/>
  <c r="CJ3" i="1"/>
  <c r="CQ3" i="1" s="1"/>
  <c r="CJ4" i="1"/>
  <c r="CQ4" i="1" s="1"/>
  <c r="CJ5" i="1"/>
  <c r="CQ5" i="1" s="1"/>
  <c r="CJ2" i="1"/>
  <c r="CQ2" i="1" s="1"/>
  <c r="CD3" i="1"/>
  <c r="CD4" i="1"/>
  <c r="CD5" i="1"/>
  <c r="CD2" i="1"/>
  <c r="BM3" i="1"/>
  <c r="CB3" i="1" s="1"/>
  <c r="BM4" i="1"/>
  <c r="BM5" i="1"/>
  <c r="BM2" i="1"/>
  <c r="CE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C3" i="1"/>
  <c r="CF3" i="1"/>
  <c r="CG3" i="1"/>
  <c r="CH3" i="1"/>
  <c r="CK3" i="1"/>
  <c r="CL3" i="1"/>
  <c r="CM3" i="1"/>
  <c r="CR3" i="1"/>
  <c r="CW3" i="1"/>
  <c r="CC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E4" i="1"/>
  <c r="CF4" i="1"/>
  <c r="CG4" i="1"/>
  <c r="CH4" i="1"/>
  <c r="CK4" i="1"/>
  <c r="CL4" i="1"/>
  <c r="CM4" i="1"/>
  <c r="CR4" i="1"/>
  <c r="CT4" i="1"/>
  <c r="CX4" i="1" s="1"/>
  <c r="CY4" i="1" s="1"/>
  <c r="CW4" i="1"/>
  <c r="CE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C5" i="1"/>
  <c r="CK5" i="1"/>
  <c r="CL5" i="1"/>
  <c r="CM5" i="1"/>
  <c r="CR5" i="1"/>
  <c r="CT5" i="1"/>
  <c r="CW5" i="1"/>
  <c r="CT3" i="1" l="1"/>
  <c r="CX3" i="1" s="1"/>
  <c r="CY3" i="1" s="1"/>
  <c r="CX5" i="1"/>
  <c r="CY5" i="1" s="1"/>
  <c r="CB5" i="1"/>
  <c r="CG5" i="1"/>
  <c r="CB4" i="1"/>
  <c r="CH5" i="1"/>
  <c r="CF5" i="1"/>
  <c r="CW2" i="1" l="1"/>
  <c r="CR2" i="1"/>
  <c r="CM2" i="1"/>
  <c r="CL2" i="1"/>
  <c r="CK2" i="1"/>
  <c r="CT2" i="1" l="1"/>
  <c r="CX2" i="1" s="1"/>
  <c r="CY2" i="1" s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CE2" i="1"/>
  <c r="CC2" i="1" l="1"/>
  <c r="CF2" i="1"/>
  <c r="CG2" i="1"/>
  <c r="CH2" i="1"/>
  <c r="C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hures greatwall</author>
    <author>Tony</author>
  </authors>
  <commentList>
    <comment ref="AE1" authorId="0" shapeId="0" xr:uid="{434A8BB5-584D-43BE-AE30-E55132900353}">
      <text>
        <r>
          <rPr>
            <b/>
            <sz val="11"/>
            <color indexed="81"/>
            <rFont val="Tahoma"/>
            <family val="2"/>
          </rPr>
          <t>Work in Office</t>
        </r>
      </text>
    </comment>
    <comment ref="AF1" authorId="0" shapeId="0" xr:uid="{2FD8F911-45AB-4E45-A9B3-AEB5FC6658C5}">
      <text>
        <r>
          <rPr>
            <b/>
            <sz val="11"/>
            <color indexed="81"/>
            <rFont val="Tahoma"/>
            <family val="2"/>
          </rPr>
          <t>Work In Location</t>
        </r>
      </text>
    </comment>
    <comment ref="AG1" authorId="0" shapeId="0" xr:uid="{E6A300D3-AF4D-4FE3-9A79-D5C3EB19F2AC}">
      <text>
        <r>
          <rPr>
            <b/>
            <sz val="11"/>
            <color indexed="81"/>
            <rFont val="Tahoma"/>
            <family val="2"/>
          </rPr>
          <t>On with additional Meal Allowance (100.000)</t>
        </r>
      </text>
    </comment>
    <comment ref="AH1" authorId="0" shapeId="0" xr:uid="{949F704B-E7B9-4D9C-B863-5CD8DA550F0D}">
      <text>
        <r>
          <rPr>
            <b/>
            <sz val="11"/>
            <color indexed="81"/>
            <rFont val="Tahoma"/>
            <family val="2"/>
          </rPr>
          <t xml:space="preserve">Overtime Office Staff and Duribase
</t>
        </r>
      </text>
    </comment>
    <comment ref="AI1" authorId="1" shapeId="0" xr:uid="{55D0BE49-663B-4BB3-AEE7-22088156B0CC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Overtime Crew PHR
</t>
        </r>
      </text>
    </comment>
    <comment ref="AJ1" authorId="0" shapeId="0" xr:uid="{2D77DADA-394C-436E-BB86-5FED67362195}">
      <text>
        <r>
          <rPr>
            <b/>
            <sz val="11"/>
            <color indexed="81"/>
            <rFont val="Tahoma"/>
            <family val="2"/>
          </rPr>
          <t>Business Trip</t>
        </r>
      </text>
    </comment>
    <comment ref="AK1" authorId="0" shapeId="0" xr:uid="{6A5CDCB7-F1B0-4ACC-80A1-75BC341C5DCA}">
      <text>
        <r>
          <rPr>
            <b/>
            <sz val="11"/>
            <color indexed="81"/>
            <rFont val="Tahoma"/>
            <family val="2"/>
          </rPr>
          <t>Travel</t>
        </r>
      </text>
    </comment>
    <comment ref="AL1" authorId="0" shapeId="0" xr:uid="{2CED271F-6F40-49F7-A2EE-46B06FE77072}">
      <text>
        <r>
          <rPr>
            <b/>
            <sz val="11"/>
            <color indexed="81"/>
            <rFont val="Tahoma"/>
            <family val="2"/>
          </rPr>
          <t>Travel and Transport</t>
        </r>
      </text>
    </comment>
    <comment ref="AM1" authorId="0" shapeId="0" xr:uid="{89FB59D3-8903-416D-9751-15856BBB07B4}">
      <text>
        <r>
          <rPr>
            <b/>
            <sz val="11"/>
            <color indexed="81"/>
            <rFont val="Tahoma"/>
            <family val="2"/>
          </rPr>
          <t xml:space="preserve">Annual Leave </t>
        </r>
        <r>
          <rPr>
            <b/>
            <sz val="11"/>
            <color indexed="81"/>
            <rFont val="宋体"/>
            <family val="3"/>
            <charset val="134"/>
          </rPr>
          <t>年假</t>
        </r>
      </text>
    </comment>
    <comment ref="AO1" authorId="1" shapeId="0" xr:uid="{29A4FA2F-291D-4081-BB5E-49E76A15C948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Training Allowance Offshore
</t>
        </r>
      </text>
    </comment>
    <comment ref="AP1" authorId="1" shapeId="0" xr:uid="{638FCDA4-8373-4818-A2B4-6455BAF012F3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Standby - Personal Leave
</t>
        </r>
      </text>
    </comment>
    <comment ref="AQ1" authorId="1" shapeId="0" xr:uid="{1F1CA5A5-6F64-4FC7-8DFA-73D65A767F45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Long Shift</t>
        </r>
      </text>
    </comment>
    <comment ref="AR1" authorId="2" shapeId="0" xr:uid="{D6449A3E-3FF9-43D9-B647-B1773D0AA12D}">
      <text>
        <r>
          <rPr>
            <sz val="9"/>
            <color indexed="81"/>
            <rFont val="宋体"/>
            <family val="3"/>
            <charset val="134"/>
          </rPr>
          <t xml:space="preserve">
(Quarantine)</t>
        </r>
      </text>
    </comment>
    <comment ref="AS1" authorId="2" shapeId="0" xr:uid="{964E3B5C-9F7F-4E59-81C4-CECC8E31CB8D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居家办公</t>
        </r>
      </text>
    </comment>
    <comment ref="AT1" authorId="0" shapeId="0" xr:uid="{06C0648D-C595-4C66-B0CF-F40E7AFC215A}">
      <text>
        <r>
          <rPr>
            <b/>
            <sz val="11"/>
            <color indexed="81"/>
            <rFont val="Tahoma"/>
            <family val="2"/>
          </rPr>
          <t xml:space="preserve">Personal Leave </t>
        </r>
        <r>
          <rPr>
            <b/>
            <sz val="11"/>
            <color indexed="81"/>
            <rFont val="宋体"/>
            <family val="3"/>
            <charset val="134"/>
          </rPr>
          <t>事假</t>
        </r>
      </text>
    </comment>
    <comment ref="AU1" authorId="0" shapeId="0" xr:uid="{AE5724A5-6387-48CD-BED4-1FF0FCCB287C}">
      <text>
        <r>
          <rPr>
            <b/>
            <sz val="11"/>
            <color indexed="81"/>
            <rFont val="Tahoma"/>
            <family val="2"/>
          </rPr>
          <t>Late</t>
        </r>
      </text>
    </comment>
    <comment ref="AV1" authorId="2" shapeId="0" xr:uid="{88C48735-3D59-42ED-8536-EAA253119B8E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 notes)</t>
        </r>
      </text>
    </comment>
    <comment ref="AW1" authorId="2" shapeId="0" xr:uid="{9C44E15B-404D-4720-8FFB-CF576DF0635A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without notes)</t>
        </r>
      </text>
    </comment>
    <comment ref="AX1" authorId="2" shapeId="0" xr:uid="{D8A98DA5-DDB5-480C-AD74-4C73854938FA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(CALL OUT )</t>
        </r>
      </text>
    </comment>
    <comment ref="AY1" authorId="2" shapeId="0" xr:uid="{5B8CAB7D-274A-4D0E-B2D7-139AD7990EA7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(PERMISION)</t>
        </r>
      </text>
    </comment>
    <comment ref="AZ1" authorId="1" shapeId="0" xr:uid="{FAFA20D9-7AB5-48DD-A7B1-B012EE008B76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Not Attend</t>
        </r>
      </text>
    </comment>
    <comment ref="BL1" authorId="2" shapeId="0" xr:uid="{96FFB0DF-D82D-4A5E-B8B4-1D50BE4E7D63}">
      <text>
        <r>
          <rPr>
            <b/>
            <sz val="9"/>
            <color indexed="81"/>
            <rFont val="宋体"/>
            <family val="3"/>
            <charset val="134"/>
          </rPr>
          <t>58岁就不交保险了，明去具体哪些保险不交了</t>
        </r>
      </text>
    </comment>
  </commentList>
</comments>
</file>

<file path=xl/sharedStrings.xml><?xml version="1.0" encoding="utf-8"?>
<sst xmlns="http://schemas.openxmlformats.org/spreadsheetml/2006/main" count="129" uniqueCount="123">
  <si>
    <t>No</t>
  </si>
  <si>
    <t>Project_Name</t>
  </si>
  <si>
    <t>Employee_Name</t>
  </si>
  <si>
    <t>Employee_Id</t>
    <phoneticPr fontId="3" type="noConversion"/>
  </si>
  <si>
    <t>Tax_Status</t>
    <phoneticPr fontId="1" type="noConversion"/>
  </si>
  <si>
    <t>BPJS_Health_Tambahan_Status</t>
    <phoneticPr fontId="1" type="noConversion"/>
  </si>
  <si>
    <t>Join_Date</t>
    <phoneticPr fontId="3" type="noConversion"/>
  </si>
  <si>
    <t>date_of_birth</t>
    <phoneticPr fontId="3" type="noConversion"/>
  </si>
  <si>
    <t>Basic_Salary/Month</t>
    <phoneticPr fontId="3" type="noConversion"/>
  </si>
  <si>
    <t>Post/Function_alw/Month</t>
    <phoneticPr fontId="3" type="noConversion"/>
  </si>
  <si>
    <t>Phone_Alw/Month</t>
    <phoneticPr fontId="3" type="noConversion"/>
  </si>
  <si>
    <t>Internet_Alw/Month</t>
    <phoneticPr fontId="3" type="noConversion"/>
  </si>
  <si>
    <t>Incentive/Month</t>
    <phoneticPr fontId="1" type="noConversion"/>
  </si>
  <si>
    <t>Operational_Alw/Month</t>
    <phoneticPr fontId="3" type="noConversion"/>
  </si>
  <si>
    <t>Housing_Alw/Month</t>
    <phoneticPr fontId="1" type="noConversion"/>
  </si>
  <si>
    <t>Seniority_Alw/Month</t>
    <phoneticPr fontId="3" type="noConversion"/>
  </si>
  <si>
    <t>Transport_Alw/Month</t>
    <phoneticPr fontId="3" type="noConversion"/>
  </si>
  <si>
    <t>Field_Alw/Month</t>
    <phoneticPr fontId="3" type="noConversion"/>
  </si>
  <si>
    <t>Accomodation_alw/Month</t>
    <phoneticPr fontId="1" type="noConversion"/>
  </si>
  <si>
    <t>Work/day</t>
    <phoneticPr fontId="1" type="noConversion"/>
  </si>
  <si>
    <t>On/day</t>
    <phoneticPr fontId="1" type="noConversion"/>
  </si>
  <si>
    <t>BT/day</t>
    <phoneticPr fontId="3" type="noConversion"/>
  </si>
  <si>
    <t>OA/Day</t>
    <phoneticPr fontId="3" type="noConversion"/>
  </si>
  <si>
    <t>Travell/Day</t>
    <phoneticPr fontId="1" type="noConversion"/>
  </si>
  <si>
    <t>ST/day</t>
    <phoneticPr fontId="3" type="noConversion"/>
  </si>
  <si>
    <t>TR/day</t>
    <phoneticPr fontId="3" type="noConversion"/>
  </si>
  <si>
    <t>W</t>
  </si>
  <si>
    <t xml:space="preserve"> On </t>
    <phoneticPr fontId="5" type="noConversion"/>
  </si>
  <si>
    <t>OS/OA</t>
    <phoneticPr fontId="1" type="noConversion"/>
  </si>
  <si>
    <t>OT</t>
  </si>
  <si>
    <t>OVT</t>
  </si>
  <si>
    <t>BT</t>
    <phoneticPr fontId="5" type="noConversion"/>
  </si>
  <si>
    <t>T</t>
  </si>
  <si>
    <t>AL</t>
    <phoneticPr fontId="1" type="noConversion"/>
  </si>
  <si>
    <t>ROT</t>
    <phoneticPr fontId="1" type="noConversion"/>
  </si>
  <si>
    <t>TR</t>
    <phoneticPr fontId="1" type="noConversion"/>
  </si>
  <si>
    <t>ST</t>
  </si>
  <si>
    <t>LS</t>
  </si>
  <si>
    <t>Q</t>
    <phoneticPr fontId="5" type="noConversion"/>
  </si>
  <si>
    <t>WFH</t>
    <phoneticPr fontId="5" type="noConversion"/>
  </si>
  <si>
    <t>PL</t>
  </si>
  <si>
    <t>L</t>
  </si>
  <si>
    <t>SC</t>
    <phoneticPr fontId="5" type="noConversion"/>
  </si>
  <si>
    <t>SC1</t>
    <phoneticPr fontId="5" type="noConversion"/>
  </si>
  <si>
    <t>CO</t>
    <phoneticPr fontId="5" type="noConversion"/>
  </si>
  <si>
    <t>PM</t>
    <phoneticPr fontId="5" type="noConversion"/>
  </si>
  <si>
    <t>NA</t>
  </si>
  <si>
    <t>OFF</t>
  </si>
  <si>
    <t>THR</t>
    <phoneticPr fontId="1" type="noConversion"/>
  </si>
  <si>
    <t>Rapel</t>
    <phoneticPr fontId="1" type="noConversion"/>
  </si>
  <si>
    <t>Tax_Alw</t>
    <phoneticPr fontId="1" type="noConversion"/>
  </si>
  <si>
    <t>Tax_Ded</t>
    <phoneticPr fontId="1" type="noConversion"/>
  </si>
  <si>
    <t>Late_Ded</t>
    <phoneticPr fontId="1" type="noConversion"/>
  </si>
  <si>
    <t>Salary_Ded</t>
    <phoneticPr fontId="1" type="noConversion"/>
  </si>
  <si>
    <t>Other_Add</t>
    <phoneticPr fontId="1" type="noConversion"/>
  </si>
  <si>
    <t>Other_Ded</t>
    <phoneticPr fontId="1" type="noConversion"/>
  </si>
  <si>
    <t>Salary_Prorate</t>
    <phoneticPr fontId="1" type="noConversion"/>
  </si>
  <si>
    <t>Acting_Allowance</t>
    <phoneticPr fontId="1" type="noConversion"/>
  </si>
  <si>
    <t>固定信息</t>
    <phoneticPr fontId="1" type="noConversion"/>
  </si>
  <si>
    <t>考勤</t>
    <phoneticPr fontId="1" type="noConversion"/>
  </si>
  <si>
    <t>偶发</t>
    <phoneticPr fontId="1" type="noConversion"/>
  </si>
  <si>
    <t>计算部分</t>
    <phoneticPr fontId="1" type="noConversion"/>
  </si>
  <si>
    <t>Age</t>
    <phoneticPr fontId="1" type="noConversion"/>
  </si>
  <si>
    <t>Total_Fixed_Alw</t>
    <phoneticPr fontId="1" type="noConversion"/>
  </si>
  <si>
    <t>Work_Alw</t>
    <phoneticPr fontId="1" type="noConversion"/>
  </si>
  <si>
    <t>On_Alw</t>
    <phoneticPr fontId="1" type="noConversion"/>
  </si>
  <si>
    <t>BT_Alw</t>
    <phoneticPr fontId="1" type="noConversion"/>
  </si>
  <si>
    <t>OS/OA_Alw</t>
    <phoneticPr fontId="1" type="noConversion"/>
  </si>
  <si>
    <t>OT_Alw</t>
    <phoneticPr fontId="1" type="noConversion"/>
  </si>
  <si>
    <t>OVT _Alw</t>
    <phoneticPr fontId="1" type="noConversion"/>
  </si>
  <si>
    <t>T_Alw</t>
    <phoneticPr fontId="1" type="noConversion"/>
  </si>
  <si>
    <t>TNT_Alw</t>
    <phoneticPr fontId="1" type="noConversion"/>
  </si>
  <si>
    <t>ROT_Alw</t>
    <phoneticPr fontId="1" type="noConversion"/>
  </si>
  <si>
    <t>ST_Alw</t>
    <phoneticPr fontId="1" type="noConversion"/>
  </si>
  <si>
    <t>LS_Alw</t>
    <phoneticPr fontId="1" type="noConversion"/>
  </si>
  <si>
    <t>TNT</t>
    <phoneticPr fontId="1" type="noConversion"/>
  </si>
  <si>
    <t>TNT/Day</t>
    <phoneticPr fontId="3" type="noConversion"/>
  </si>
  <si>
    <t>AL_Alw</t>
    <phoneticPr fontId="1" type="noConversion"/>
  </si>
  <si>
    <t>Total_Non_Fixed_Alw</t>
    <phoneticPr fontId="1" type="noConversion"/>
  </si>
  <si>
    <t>TR_Alw</t>
    <phoneticPr fontId="1" type="noConversion"/>
  </si>
  <si>
    <t>Bonus</t>
    <phoneticPr fontId="1" type="noConversion"/>
  </si>
  <si>
    <t>Compensation</t>
    <phoneticPr fontId="1" type="noConversion"/>
  </si>
  <si>
    <t>Q_Ded</t>
    <phoneticPr fontId="1" type="noConversion"/>
  </si>
  <si>
    <t>PL_Ded</t>
    <phoneticPr fontId="1" type="noConversion"/>
  </si>
  <si>
    <t>SC_Ded</t>
    <phoneticPr fontId="1" type="noConversion"/>
  </si>
  <si>
    <t>SC1_Ded</t>
    <phoneticPr fontId="1" type="noConversion"/>
  </si>
  <si>
    <t>CO_Ded</t>
    <phoneticPr fontId="1" type="noConversion"/>
  </si>
  <si>
    <t>PM_Ded</t>
    <phoneticPr fontId="1" type="noConversion"/>
  </si>
  <si>
    <t>NA_Ded</t>
    <phoneticPr fontId="1" type="noConversion"/>
  </si>
  <si>
    <t>JKK_Alw</t>
    <phoneticPr fontId="1" type="noConversion"/>
  </si>
  <si>
    <t>JHT_Alw</t>
    <phoneticPr fontId="1" type="noConversion"/>
  </si>
  <si>
    <t>JKM_Alw</t>
    <phoneticPr fontId="1" type="noConversion"/>
  </si>
  <si>
    <t>JP_Alw</t>
    <phoneticPr fontId="1" type="noConversion"/>
  </si>
  <si>
    <t>BPJS_Manpower_Alw</t>
    <phoneticPr fontId="1" type="noConversion"/>
  </si>
  <si>
    <t>BPJS_Health_Alw</t>
    <phoneticPr fontId="1" type="noConversion"/>
  </si>
  <si>
    <t>Gross_Salary</t>
    <phoneticPr fontId="1" type="noConversion"/>
  </si>
  <si>
    <t>JHT_Ded</t>
    <phoneticPr fontId="1" type="noConversion"/>
  </si>
  <si>
    <t>JP_Ded</t>
    <phoneticPr fontId="1" type="noConversion"/>
  </si>
  <si>
    <t>BPJS_Work_Ded</t>
    <phoneticPr fontId="1" type="noConversion"/>
  </si>
  <si>
    <t>BPJS_Health_Ded</t>
    <phoneticPr fontId="1" type="noConversion"/>
  </si>
  <si>
    <t>BPJS_Health_Tambahan</t>
    <phoneticPr fontId="1" type="noConversion"/>
  </si>
  <si>
    <t>Total_Deduction</t>
    <phoneticPr fontId="1" type="noConversion"/>
  </si>
  <si>
    <t>Final_Staff_Receive</t>
    <phoneticPr fontId="1" type="noConversion"/>
  </si>
  <si>
    <t>Resign</t>
    <phoneticPr fontId="3" type="noConversion"/>
  </si>
  <si>
    <t>Email</t>
    <phoneticPr fontId="3" type="noConversion"/>
  </si>
  <si>
    <t>Total_BPJS_Health_Ded</t>
    <phoneticPr fontId="1" type="noConversion"/>
  </si>
  <si>
    <t>Head Office Jakarta</t>
    <phoneticPr fontId="1" type="noConversion"/>
  </si>
  <si>
    <t>abc</t>
    <phoneticPr fontId="1" type="noConversion"/>
  </si>
  <si>
    <t>aabbcc</t>
    <phoneticPr fontId="1" type="noConversion"/>
  </si>
  <si>
    <t>dflj.jlkjl</t>
    <phoneticPr fontId="1" type="noConversion"/>
  </si>
  <si>
    <t>jkjlen,.jlsdfj.jljl</t>
    <phoneticPr fontId="1" type="noConversion"/>
  </si>
  <si>
    <t>3456789012</t>
    <phoneticPr fontId="1" type="noConversion"/>
  </si>
  <si>
    <t>4567890123</t>
    <phoneticPr fontId="1" type="noConversion"/>
  </si>
  <si>
    <t>TK/0</t>
    <phoneticPr fontId="1" type="noConversion"/>
  </si>
  <si>
    <t>K/2</t>
    <phoneticPr fontId="1" type="noConversion"/>
  </si>
  <si>
    <t>K/3</t>
    <phoneticPr fontId="1" type="noConversion"/>
  </si>
  <si>
    <t>TK/3</t>
    <phoneticPr fontId="1" type="noConversion"/>
  </si>
  <si>
    <t>Position</t>
    <phoneticPr fontId="1" type="noConversion"/>
  </si>
  <si>
    <t>Office Boy</t>
  </si>
  <si>
    <t>IT &amp; Business Development</t>
  </si>
  <si>
    <t>HRD Supervisor</t>
  </si>
  <si>
    <t>Finance Senior Officer</t>
  </si>
  <si>
    <t>djhj@gmail.com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</si>
</sst>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Book Antiqua"/>
      <family val="1"/>
    </font>
    <font>
      <sz val="9"/>
      <name val="等线"/>
      <family val="3"/>
      <charset val="134"/>
      <scheme val="minor"/>
    </font>
    <font>
      <b/>
      <sz val="8"/>
      <name val="Book Antiqua"/>
      <family val="1"/>
    </font>
    <font>
      <sz val="9"/>
      <name val="宋体"/>
      <family val="3"/>
      <charset val="134"/>
    </font>
    <font>
      <sz val="8"/>
      <name val="Book Antiqua"/>
      <family val="1"/>
    </font>
    <font>
      <b/>
      <sz val="11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color theme="1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  <font>
      <sz val="7"/>
      <name val="Calibri"/>
      <family val="2"/>
    </font>
    <font>
      <u/>
      <sz val="11"/>
      <color theme="10"/>
      <name val="等线"/>
      <family val="2"/>
      <charset val="134"/>
      <scheme val="minor"/>
    </font>
    <font>
      <u/>
      <sz val="8"/>
      <color theme="1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3" fontId="15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djhj@gmail.com" TargetMode="External"/><Relationship Id="rId1" Type="http://schemas.openxmlformats.org/officeDocument/2006/relationships/hyperlink" Target="mailto:djhj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A4B3-76D5-47A6-904B-3C760CE93297}">
  <dimension ref="A1:CY12"/>
  <sheetViews>
    <sheetView tabSelected="1" topLeftCell="CI1" workbookViewId="0">
      <selection activeCell="CX4" sqref="CX4"/>
    </sheetView>
  </sheetViews>
  <sheetFormatPr defaultRowHeight="14.25" x14ac:dyDescent="0.2"/>
  <cols>
    <col min="1" max="1" width="3.625" customWidth="1"/>
    <col min="2" max="2" width="12.375" bestFit="1" customWidth="1"/>
    <col min="4" max="4" width="9" bestFit="1" customWidth="1"/>
    <col min="5" max="5" width="7.375" bestFit="1" customWidth="1"/>
    <col min="7" max="7" width="9.875" customWidth="1"/>
    <col min="8" max="8" width="6.75" bestFit="1" customWidth="1"/>
    <col min="9" max="9" width="6.75" customWidth="1"/>
    <col min="11" max="11" width="14.375" bestFit="1" customWidth="1"/>
    <col min="21" max="21" width="8" bestFit="1" customWidth="1"/>
    <col min="23" max="23" width="7.375" bestFit="1" customWidth="1"/>
    <col min="24" max="24" width="5.75" bestFit="1" customWidth="1"/>
    <col min="25" max="25" width="5.625" bestFit="1" customWidth="1"/>
    <col min="26" max="26" width="6.25" bestFit="1" customWidth="1"/>
    <col min="27" max="27" width="8.375" bestFit="1" customWidth="1"/>
    <col min="28" max="28" width="6.625" bestFit="1" customWidth="1"/>
    <col min="29" max="29" width="5.5" bestFit="1" customWidth="1"/>
    <col min="30" max="30" width="5.625" bestFit="1" customWidth="1"/>
    <col min="31" max="31" width="2.25" bestFit="1" customWidth="1"/>
    <col min="32" max="32" width="3.375" bestFit="1" customWidth="1"/>
    <col min="33" max="33" width="5.375" bestFit="1" customWidth="1"/>
    <col min="34" max="34" width="2.75" bestFit="1" customWidth="1"/>
    <col min="35" max="35" width="3.625" bestFit="1" customWidth="1"/>
    <col min="36" max="36" width="2.5" bestFit="1" customWidth="1"/>
    <col min="37" max="37" width="1.625" bestFit="1" customWidth="1"/>
    <col min="38" max="38" width="3.375" bestFit="1" customWidth="1"/>
    <col min="39" max="39" width="2.625" bestFit="1" customWidth="1"/>
    <col min="40" max="40" width="3.75" bestFit="1" customWidth="1"/>
    <col min="41" max="41" width="2.5" bestFit="1" customWidth="1"/>
    <col min="42" max="43" width="2.25" bestFit="1" customWidth="1"/>
    <col min="44" max="44" width="1.875" bestFit="1" customWidth="1"/>
    <col min="45" max="45" width="4" bestFit="1" customWidth="1"/>
    <col min="46" max="46" width="2.375" bestFit="1" customWidth="1"/>
    <col min="47" max="47" width="3.125" customWidth="1"/>
    <col min="48" max="48" width="2.625" bestFit="1" customWidth="1"/>
    <col min="49" max="49" width="3.25" bestFit="1" customWidth="1"/>
    <col min="50" max="50" width="2.875" bestFit="1" customWidth="1"/>
    <col min="51" max="52" width="3" bestFit="1" customWidth="1"/>
    <col min="53" max="53" width="3.375" bestFit="1" customWidth="1"/>
    <col min="54" max="54" width="6.625" bestFit="1" customWidth="1"/>
    <col min="55" max="55" width="5.5" bestFit="1" customWidth="1"/>
    <col min="56" max="57" width="8.125" bestFit="1" customWidth="1"/>
    <col min="58" max="58" width="8.625" bestFit="1" customWidth="1"/>
    <col min="59" max="59" width="7.25" bestFit="1" customWidth="1"/>
    <col min="60" max="61" width="6.625" bestFit="1" customWidth="1"/>
    <col min="62" max="62" width="7.75" bestFit="1" customWidth="1"/>
    <col min="63" max="63" width="7.625" bestFit="1" customWidth="1"/>
    <col min="64" max="64" width="3.25" bestFit="1" customWidth="1"/>
    <col min="65" max="65" width="11.375" bestFit="1" customWidth="1"/>
    <col min="66" max="66" width="7.625" bestFit="1" customWidth="1"/>
    <col min="67" max="67" width="6.625" bestFit="1" customWidth="1"/>
    <col min="68" max="68" width="8.625" customWidth="1"/>
    <col min="69" max="69" width="9.875" customWidth="1"/>
    <col min="70" max="70" width="7.375" bestFit="1" customWidth="1"/>
    <col min="71" max="72" width="6.625" bestFit="1" customWidth="1"/>
    <col min="73" max="73" width="7" bestFit="1" customWidth="1"/>
    <col min="74" max="74" width="6" bestFit="1" customWidth="1"/>
    <col min="75" max="75" width="7" bestFit="1" customWidth="1"/>
    <col min="76" max="77" width="6.625" bestFit="1" customWidth="1"/>
    <col min="78" max="78" width="7.25" bestFit="1" customWidth="1"/>
    <col min="79" max="79" width="8.75" bestFit="1" customWidth="1"/>
    <col min="80" max="81" width="6.625" bestFit="1" customWidth="1"/>
    <col min="82" max="82" width="7.25" bestFit="1" customWidth="1"/>
    <col min="83" max="83" width="6.625" bestFit="1" customWidth="1"/>
    <col min="84" max="84" width="6.5" bestFit="1" customWidth="1"/>
    <col min="85" max="86" width="6.625" bestFit="1" customWidth="1"/>
    <col min="87" max="87" width="13.375" customWidth="1"/>
    <col min="88" max="88" width="7.875" bestFit="1" customWidth="1"/>
    <col min="89" max="89" width="6.625" bestFit="1" customWidth="1"/>
    <col min="90" max="90" width="6.875" bestFit="1" customWidth="1"/>
    <col min="91" max="91" width="6.625" bestFit="1" customWidth="1"/>
    <col min="92" max="92" width="5.5" bestFit="1" customWidth="1"/>
    <col min="93" max="103" width="8.75" bestFit="1" customWidth="1"/>
  </cols>
  <sheetData>
    <row r="1" spans="1:103" ht="38.2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117</v>
      </c>
      <c r="H1" s="3" t="s">
        <v>6</v>
      </c>
      <c r="I1" s="3" t="s">
        <v>103</v>
      </c>
      <c r="J1" s="3" t="s">
        <v>7</v>
      </c>
      <c r="K1" s="3" t="s">
        <v>104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76</v>
      </c>
      <c r="AC1" s="2" t="s">
        <v>24</v>
      </c>
      <c r="AD1" s="1" t="s">
        <v>25</v>
      </c>
      <c r="AE1" s="8" t="s">
        <v>26</v>
      </c>
      <c r="AF1" s="8" t="s">
        <v>27</v>
      </c>
      <c r="AG1" s="8" t="s">
        <v>28</v>
      </c>
      <c r="AH1" s="8" t="s">
        <v>29</v>
      </c>
      <c r="AI1" s="9" t="s">
        <v>30</v>
      </c>
      <c r="AJ1" s="8" t="s">
        <v>31</v>
      </c>
      <c r="AK1" s="8" t="s">
        <v>32</v>
      </c>
      <c r="AL1" s="8" t="s">
        <v>75</v>
      </c>
      <c r="AM1" s="8" t="s">
        <v>33</v>
      </c>
      <c r="AN1" s="8" t="s">
        <v>34</v>
      </c>
      <c r="AO1" s="9" t="s">
        <v>35</v>
      </c>
      <c r="AP1" s="9" t="s">
        <v>36</v>
      </c>
      <c r="AQ1" s="9" t="s">
        <v>37</v>
      </c>
      <c r="AR1" s="8" t="s">
        <v>38</v>
      </c>
      <c r="AS1" s="8" t="s">
        <v>39</v>
      </c>
      <c r="AT1" s="8" t="s">
        <v>40</v>
      </c>
      <c r="AU1" s="8" t="s">
        <v>41</v>
      </c>
      <c r="AV1" s="8" t="s">
        <v>42</v>
      </c>
      <c r="AW1" s="8" t="s">
        <v>43</v>
      </c>
      <c r="AX1" s="8" t="s">
        <v>44</v>
      </c>
      <c r="AY1" s="8" t="s">
        <v>45</v>
      </c>
      <c r="AZ1" s="9" t="s">
        <v>46</v>
      </c>
      <c r="BA1" s="8" t="s">
        <v>47</v>
      </c>
      <c r="BB1" s="10" t="s">
        <v>48</v>
      </c>
      <c r="BC1" s="10" t="s">
        <v>80</v>
      </c>
      <c r="BD1" s="10" t="s">
        <v>81</v>
      </c>
      <c r="BE1" s="10" t="s">
        <v>57</v>
      </c>
      <c r="BF1" s="10" t="s">
        <v>56</v>
      </c>
      <c r="BG1" s="10" t="s">
        <v>49</v>
      </c>
      <c r="BH1" s="10" t="s">
        <v>50</v>
      </c>
      <c r="BI1" s="10" t="s">
        <v>51</v>
      </c>
      <c r="BJ1" s="10" t="s">
        <v>54</v>
      </c>
      <c r="BK1" s="10" t="s">
        <v>55</v>
      </c>
      <c r="BL1" s="11" t="s">
        <v>62</v>
      </c>
      <c r="BM1" s="13" t="s">
        <v>63</v>
      </c>
      <c r="BN1" s="11" t="s">
        <v>64</v>
      </c>
      <c r="BO1" s="11" t="s">
        <v>65</v>
      </c>
      <c r="BP1" s="11" t="s">
        <v>67</v>
      </c>
      <c r="BQ1" s="11" t="s">
        <v>68</v>
      </c>
      <c r="BR1" s="11" t="s">
        <v>69</v>
      </c>
      <c r="BS1" s="11" t="s">
        <v>66</v>
      </c>
      <c r="BT1" s="11" t="s">
        <v>70</v>
      </c>
      <c r="BU1" s="11" t="s">
        <v>71</v>
      </c>
      <c r="BV1" s="11" t="s">
        <v>77</v>
      </c>
      <c r="BW1" s="11" t="s">
        <v>72</v>
      </c>
      <c r="BX1" s="11" t="s">
        <v>79</v>
      </c>
      <c r="BY1" s="11" t="s">
        <v>73</v>
      </c>
      <c r="BZ1" s="11" t="s">
        <v>74</v>
      </c>
      <c r="CA1" s="13" t="s">
        <v>78</v>
      </c>
      <c r="CB1" s="11" t="s">
        <v>82</v>
      </c>
      <c r="CC1" s="11" t="s">
        <v>83</v>
      </c>
      <c r="CD1" s="12" t="s">
        <v>52</v>
      </c>
      <c r="CE1" s="12" t="s">
        <v>84</v>
      </c>
      <c r="CF1" s="12" t="s">
        <v>85</v>
      </c>
      <c r="CG1" s="12" t="s">
        <v>86</v>
      </c>
      <c r="CH1" s="12" t="s">
        <v>87</v>
      </c>
      <c r="CI1" s="12" t="s">
        <v>88</v>
      </c>
      <c r="CJ1" s="14" t="s">
        <v>53</v>
      </c>
      <c r="CK1" s="12" t="s">
        <v>89</v>
      </c>
      <c r="CL1" s="12" t="s">
        <v>91</v>
      </c>
      <c r="CM1" s="12" t="s">
        <v>90</v>
      </c>
      <c r="CN1" s="12" t="s">
        <v>92</v>
      </c>
      <c r="CO1" s="14" t="s">
        <v>93</v>
      </c>
      <c r="CP1" s="12" t="s">
        <v>94</v>
      </c>
      <c r="CQ1" s="14" t="s">
        <v>95</v>
      </c>
      <c r="CR1" s="12" t="s">
        <v>96</v>
      </c>
      <c r="CS1" s="12" t="s">
        <v>97</v>
      </c>
      <c r="CT1" s="14" t="s">
        <v>98</v>
      </c>
      <c r="CU1" s="12" t="s">
        <v>99</v>
      </c>
      <c r="CV1" s="12" t="s">
        <v>100</v>
      </c>
      <c r="CW1" s="14" t="s">
        <v>105</v>
      </c>
      <c r="CX1" s="14" t="s">
        <v>101</v>
      </c>
      <c r="CY1" s="14" t="s">
        <v>102</v>
      </c>
    </row>
    <row r="2" spans="1:103" s="18" customFormat="1" ht="10.5" customHeight="1" x14ac:dyDescent="0.2">
      <c r="A2" s="15">
        <v>1</v>
      </c>
      <c r="B2" s="15" t="s">
        <v>106</v>
      </c>
      <c r="C2" s="15" t="s">
        <v>107</v>
      </c>
      <c r="D2" s="16">
        <v>1234567890</v>
      </c>
      <c r="E2" s="15" t="s">
        <v>113</v>
      </c>
      <c r="F2" s="15">
        <v>0</v>
      </c>
      <c r="G2" s="17" t="s">
        <v>118</v>
      </c>
      <c r="H2" s="22">
        <v>45444</v>
      </c>
      <c r="I2" s="22">
        <v>46176</v>
      </c>
      <c r="J2" s="22">
        <v>23870</v>
      </c>
      <c r="K2" s="26" t="s">
        <v>122</v>
      </c>
      <c r="L2" s="24">
        <v>5000000</v>
      </c>
      <c r="M2" s="24">
        <v>1000000</v>
      </c>
      <c r="N2" s="24">
        <v>500000</v>
      </c>
      <c r="O2" s="24">
        <v>400000</v>
      </c>
      <c r="P2" s="24">
        <v>300000</v>
      </c>
      <c r="Q2" s="24">
        <v>200000</v>
      </c>
      <c r="R2" s="24">
        <v>100000</v>
      </c>
      <c r="S2" s="24">
        <v>100000</v>
      </c>
      <c r="T2" s="24">
        <v>100000</v>
      </c>
      <c r="U2" s="24">
        <v>100000</v>
      </c>
      <c r="V2" s="24">
        <v>100000</v>
      </c>
      <c r="W2" s="24">
        <v>100000</v>
      </c>
      <c r="X2" s="24">
        <v>100000</v>
      </c>
      <c r="Y2" s="24">
        <v>500000</v>
      </c>
      <c r="Z2" s="24">
        <v>400000</v>
      </c>
      <c r="AA2" s="24">
        <v>500000</v>
      </c>
      <c r="AB2" s="24">
        <v>600000</v>
      </c>
      <c r="AC2" s="24">
        <v>600000</v>
      </c>
      <c r="AD2" s="24">
        <v>600000</v>
      </c>
      <c r="AE2" s="15">
        <v>23</v>
      </c>
      <c r="AF2" s="15">
        <v>5</v>
      </c>
      <c r="AG2" s="15">
        <v>6</v>
      </c>
      <c r="AH2" s="15">
        <v>7</v>
      </c>
      <c r="AI2" s="15">
        <v>1</v>
      </c>
      <c r="AJ2" s="15">
        <v>1</v>
      </c>
      <c r="AK2" s="15">
        <v>1</v>
      </c>
      <c r="AL2" s="15">
        <v>2</v>
      </c>
      <c r="AM2" s="15">
        <v>2</v>
      </c>
      <c r="AN2" s="15">
        <v>1</v>
      </c>
      <c r="AO2" s="15">
        <v>1</v>
      </c>
      <c r="AP2" s="15">
        <v>1</v>
      </c>
      <c r="AQ2" s="15">
        <v>1</v>
      </c>
      <c r="AR2" s="15">
        <v>1</v>
      </c>
      <c r="AS2" s="15">
        <v>1</v>
      </c>
      <c r="AT2" s="15">
        <v>1</v>
      </c>
      <c r="AU2" s="15">
        <v>1</v>
      </c>
      <c r="AV2" s="15">
        <v>1</v>
      </c>
      <c r="AW2" s="15">
        <v>1</v>
      </c>
      <c r="AX2" s="15">
        <v>1</v>
      </c>
      <c r="AY2" s="15">
        <v>1</v>
      </c>
      <c r="AZ2" s="15">
        <v>1</v>
      </c>
      <c r="BA2" s="15">
        <v>1</v>
      </c>
      <c r="BB2" s="24">
        <v>1000000</v>
      </c>
      <c r="BC2" s="24">
        <v>100000</v>
      </c>
      <c r="BD2" s="24">
        <v>400000</v>
      </c>
      <c r="BE2" s="24">
        <v>100000</v>
      </c>
      <c r="BF2" s="24">
        <v>500000</v>
      </c>
      <c r="BG2" s="24">
        <v>10000000</v>
      </c>
      <c r="BH2" s="24">
        <v>3000000</v>
      </c>
      <c r="BI2" s="24">
        <v>3000000</v>
      </c>
      <c r="BJ2" s="24">
        <v>100000</v>
      </c>
      <c r="BK2" s="24">
        <v>200000</v>
      </c>
      <c r="BL2" s="15">
        <f ca="1">DATEDIF(J2,TODAY(),"Y")</f>
        <v>61</v>
      </c>
      <c r="BM2" s="27">
        <f>SUM(L2:V2)</f>
        <v>7900000</v>
      </c>
      <c r="BN2" s="27">
        <f>W2*AE2</f>
        <v>2300000</v>
      </c>
      <c r="BO2" s="27">
        <f>AF2*X2+AF2*W2</f>
        <v>1000000</v>
      </c>
      <c r="BP2" s="27">
        <f>AG2*Z2+AG2*X2</f>
        <v>3000000</v>
      </c>
      <c r="BQ2" s="27">
        <f>AH2*L2*2/(30*8)</f>
        <v>291666.66666666669</v>
      </c>
      <c r="BR2" s="24">
        <f>AI2*L2*29/173</f>
        <v>838150.28901734098</v>
      </c>
      <c r="BS2" s="24">
        <f>AJ2*Y2+AJ2*X2+AJ2*W2</f>
        <v>700000</v>
      </c>
      <c r="BT2" s="24">
        <f>AK2*AA2</f>
        <v>500000</v>
      </c>
      <c r="BU2" s="24">
        <f>AL2*AB2</f>
        <v>1200000</v>
      </c>
      <c r="BV2" s="24">
        <f>AM2*W2</f>
        <v>200000</v>
      </c>
      <c r="BW2" s="24">
        <f>AN2*L2*7.5/173</f>
        <v>216763.00578034681</v>
      </c>
      <c r="BX2" s="24">
        <f>AO2*AD2</f>
        <v>600000</v>
      </c>
      <c r="BY2" s="24">
        <f>AP2*AC2</f>
        <v>600000</v>
      </c>
      <c r="BZ2" s="24">
        <f>AQ2*L2*24/173</f>
        <v>693641.61849710986</v>
      </c>
      <c r="CA2" s="24">
        <f>SUM(BN2:BZ2)+SUM(BB2:BF2)+BJ2</f>
        <v>14340221.579961464</v>
      </c>
      <c r="CB2" s="24">
        <f>AR2*BM2/30</f>
        <v>263333.33333333331</v>
      </c>
      <c r="CC2" s="24">
        <f>AT2*BM2/30</f>
        <v>263333.33333333331</v>
      </c>
      <c r="CD2" s="24">
        <f>MAX((AU2-3)*AA2,0)</f>
        <v>0</v>
      </c>
      <c r="CE2" s="24">
        <f>AV2*BM2/30</f>
        <v>263333.33333333331</v>
      </c>
      <c r="CF2" s="24">
        <f>AW2*BM2/22</f>
        <v>359090.90909090912</v>
      </c>
      <c r="CG2" s="24">
        <f>AX2*BM2/30</f>
        <v>263333.33333333331</v>
      </c>
      <c r="CH2" s="24">
        <f>AY2*BM2/30</f>
        <v>263333.33333333331</v>
      </c>
      <c r="CI2" s="24">
        <f>AZ2*BM2/22</f>
        <v>359090.90909090912</v>
      </c>
      <c r="CJ2" s="24">
        <f>SUM(CB2:CI2)+BK2</f>
        <v>2234848.4848484849</v>
      </c>
      <c r="CK2" s="24">
        <f>L2*1.74%</f>
        <v>87000</v>
      </c>
      <c r="CL2" s="24">
        <f>L2*0.3%</f>
        <v>15000</v>
      </c>
      <c r="CM2" s="24">
        <f>L2*3.7%</f>
        <v>185000.00000000003</v>
      </c>
      <c r="CN2" s="24">
        <f ca="1">IF(BL2&gt;=58,0,MIN(L2+BG2,11086300)*2%)</f>
        <v>0</v>
      </c>
      <c r="CO2" s="24">
        <f ca="1">SUM(CK2:CN2)</f>
        <v>287000</v>
      </c>
      <c r="CP2" s="24">
        <f>MEDIAN(3450000,L2,12000000)*4%</f>
        <v>200000</v>
      </c>
      <c r="CQ2" s="24">
        <f>ROUND(BM2+CA2+BH2-CJ2,-2)</f>
        <v>23005400</v>
      </c>
      <c r="CR2" s="24">
        <f>L2*2%</f>
        <v>100000</v>
      </c>
      <c r="CS2" s="24">
        <f ca="1">IF(BL2&gt;=58,0,MIN(L2+BG2,11086300)*1%)</f>
        <v>0</v>
      </c>
      <c r="CT2" s="24">
        <f ca="1">CR2+CS2</f>
        <v>100000</v>
      </c>
      <c r="CU2" s="24">
        <f>MEDIAN(3450000,L2,12000000)*1%</f>
        <v>50000</v>
      </c>
      <c r="CV2" s="24">
        <f>MEDIAN(3450000,L2,12000000)*F2</f>
        <v>0</v>
      </c>
      <c r="CW2" s="24">
        <f>CU2+CV2</f>
        <v>50000</v>
      </c>
      <c r="CX2" s="24">
        <f ca="1">CT2+CW2+BI2</f>
        <v>3150000</v>
      </c>
      <c r="CY2" s="24">
        <f ca="1">ROUND(CQ2-CX2,-2)</f>
        <v>19855400</v>
      </c>
    </row>
    <row r="3" spans="1:103" s="18" customFormat="1" ht="18" x14ac:dyDescent="0.2">
      <c r="A3" s="15">
        <v>2</v>
      </c>
      <c r="B3" s="15" t="s">
        <v>106</v>
      </c>
      <c r="C3" s="19" t="s">
        <v>108</v>
      </c>
      <c r="D3" s="20">
        <v>2345678901</v>
      </c>
      <c r="E3" s="19" t="s">
        <v>114</v>
      </c>
      <c r="F3" s="21">
        <v>0.01</v>
      </c>
      <c r="G3" s="17" t="s">
        <v>119</v>
      </c>
      <c r="H3" s="23">
        <v>44682</v>
      </c>
      <c r="I3" s="22">
        <v>46177</v>
      </c>
      <c r="J3" s="23">
        <v>29709</v>
      </c>
      <c r="K3" s="26" t="s">
        <v>122</v>
      </c>
      <c r="L3" s="25">
        <v>7000000</v>
      </c>
      <c r="M3" s="25">
        <v>700000</v>
      </c>
      <c r="N3" s="25">
        <v>500000</v>
      </c>
      <c r="O3" s="25">
        <v>400000</v>
      </c>
      <c r="P3" s="25">
        <v>300000</v>
      </c>
      <c r="Q3" s="24">
        <v>200000</v>
      </c>
      <c r="R3" s="24">
        <v>100000</v>
      </c>
      <c r="S3" s="24">
        <v>100000</v>
      </c>
      <c r="T3" s="24">
        <v>100000</v>
      </c>
      <c r="U3" s="24">
        <v>100000</v>
      </c>
      <c r="V3" s="24">
        <v>100000</v>
      </c>
      <c r="W3" s="24">
        <v>100000</v>
      </c>
      <c r="X3" s="24">
        <v>100000</v>
      </c>
      <c r="Y3" s="24">
        <v>500000</v>
      </c>
      <c r="Z3" s="24">
        <v>400000</v>
      </c>
      <c r="AA3" s="24">
        <v>500000</v>
      </c>
      <c r="AB3" s="24">
        <v>600000</v>
      </c>
      <c r="AC3" s="24">
        <v>600000</v>
      </c>
      <c r="AD3" s="24">
        <v>600000</v>
      </c>
      <c r="AE3" s="19">
        <v>19</v>
      </c>
      <c r="AF3" s="19">
        <v>6</v>
      </c>
      <c r="AG3" s="19">
        <v>7</v>
      </c>
      <c r="AH3" s="19">
        <v>8</v>
      </c>
      <c r="AI3" s="19">
        <v>2</v>
      </c>
      <c r="AJ3" s="19">
        <v>2</v>
      </c>
      <c r="AK3" s="19">
        <v>2</v>
      </c>
      <c r="AL3" s="19">
        <v>2</v>
      </c>
      <c r="AM3" s="19">
        <v>2</v>
      </c>
      <c r="AN3" s="19">
        <v>2</v>
      </c>
      <c r="AO3" s="19">
        <v>2</v>
      </c>
      <c r="AP3" s="19">
        <v>2</v>
      </c>
      <c r="AQ3" s="19">
        <v>2</v>
      </c>
      <c r="AR3" s="19">
        <v>2</v>
      </c>
      <c r="AS3" s="19">
        <v>2</v>
      </c>
      <c r="AT3" s="19">
        <v>2</v>
      </c>
      <c r="AU3" s="19">
        <v>2</v>
      </c>
      <c r="AV3" s="19">
        <v>2</v>
      </c>
      <c r="AW3" s="19">
        <v>2</v>
      </c>
      <c r="AX3" s="19">
        <v>2</v>
      </c>
      <c r="AY3" s="19">
        <v>2</v>
      </c>
      <c r="AZ3" s="19">
        <v>2</v>
      </c>
      <c r="BA3" s="19">
        <v>2</v>
      </c>
      <c r="BB3" s="25">
        <v>2000000</v>
      </c>
      <c r="BC3" s="25">
        <v>200000</v>
      </c>
      <c r="BD3" s="25">
        <v>300000</v>
      </c>
      <c r="BE3" s="25">
        <v>100000</v>
      </c>
      <c r="BF3" s="25">
        <v>600000</v>
      </c>
      <c r="BG3" s="25">
        <v>200000</v>
      </c>
      <c r="BH3" s="24">
        <v>3000000</v>
      </c>
      <c r="BI3" s="24">
        <v>3000000</v>
      </c>
      <c r="BJ3" s="24">
        <v>100000</v>
      </c>
      <c r="BK3" s="24">
        <v>200000</v>
      </c>
      <c r="BL3" s="15">
        <f t="shared" ref="BL3:BL5" ca="1" si="0">DATEDIF(J3,TODAY(),"Y")</f>
        <v>45</v>
      </c>
      <c r="BM3" s="27">
        <f t="shared" ref="BM3:BM5" si="1">SUM(L3:V3)</f>
        <v>9600000</v>
      </c>
      <c r="BN3" s="27">
        <f t="shared" ref="BN3:BN5" si="2">W3*AE3</f>
        <v>1900000</v>
      </c>
      <c r="BO3" s="27">
        <f t="shared" ref="BO3:BO5" si="3">AF3*X3+AF3*W3</f>
        <v>1200000</v>
      </c>
      <c r="BP3" s="27">
        <f t="shared" ref="BP3:BP5" si="4">AG3*Z3+AG3*X3</f>
        <v>3500000</v>
      </c>
      <c r="BQ3" s="27">
        <f t="shared" ref="BQ3:BQ5" si="5">AH3*L3*2/(30*8)</f>
        <v>466666.66666666669</v>
      </c>
      <c r="BR3" s="24">
        <f t="shared" ref="BR3:BR5" si="6">AI3*L3*29/173</f>
        <v>2346820.809248555</v>
      </c>
      <c r="BS3" s="24">
        <f t="shared" ref="BS3:BS5" si="7">AJ3*Y3+AJ3*X3+AJ3*W3</f>
        <v>1400000</v>
      </c>
      <c r="BT3" s="24">
        <f t="shared" ref="BT3:BT5" si="8">AK3*AA3</f>
        <v>1000000</v>
      </c>
      <c r="BU3" s="24">
        <f t="shared" ref="BU3:BU5" si="9">AL3*AB3</f>
        <v>1200000</v>
      </c>
      <c r="BV3" s="24">
        <f t="shared" ref="BV3:BV5" si="10">AM3*W3</f>
        <v>200000</v>
      </c>
      <c r="BW3" s="24">
        <f t="shared" ref="BW3:BW5" si="11">AN3*L3*7.5/173</f>
        <v>606936.41618497111</v>
      </c>
      <c r="BX3" s="24">
        <f t="shared" ref="BX3:BX5" si="12">AO3*AD3</f>
        <v>1200000</v>
      </c>
      <c r="BY3" s="24">
        <f t="shared" ref="BY3:BY5" si="13">AP3*AC3</f>
        <v>1200000</v>
      </c>
      <c r="BZ3" s="24">
        <f t="shared" ref="BZ3:BZ5" si="14">AQ3*L3*24/173</f>
        <v>1942196.5317919075</v>
      </c>
      <c r="CA3" s="24">
        <f t="shared" ref="CA3:CA5" si="15">SUM(BN3:BZ3)+SUM(BB3:BF3)+BJ3</f>
        <v>21462620.423892099</v>
      </c>
      <c r="CB3" s="24">
        <f t="shared" ref="CB3:CB5" si="16">AR3*BM3/30</f>
        <v>640000</v>
      </c>
      <c r="CC3" s="24">
        <f t="shared" ref="CC3:CC5" si="17">AT3*BM3/30</f>
        <v>640000</v>
      </c>
      <c r="CD3" s="24">
        <f t="shared" ref="CD3:CD5" si="18">MAX((AU3-3)*AA3,0)</f>
        <v>0</v>
      </c>
      <c r="CE3" s="24">
        <f t="shared" ref="CE3:CE5" si="19">AV3*BM3/30</f>
        <v>640000</v>
      </c>
      <c r="CF3" s="24">
        <f t="shared" ref="CF3:CF5" si="20">AW3*BM3/22</f>
        <v>872727.27272727271</v>
      </c>
      <c r="CG3" s="24">
        <f t="shared" ref="CG3:CG5" si="21">AX3*BM3/30</f>
        <v>640000</v>
      </c>
      <c r="CH3" s="24">
        <f t="shared" ref="CH3:CH5" si="22">AY3*BM3/30</f>
        <v>640000</v>
      </c>
      <c r="CI3" s="24">
        <f t="shared" ref="CI3:CI5" si="23">AZ3*BM3/22</f>
        <v>872727.27272727271</v>
      </c>
      <c r="CJ3" s="24">
        <f t="shared" ref="CJ3:CJ5" si="24">SUM(CB3:CI3)+BK3</f>
        <v>5145454.5454545449</v>
      </c>
      <c r="CK3" s="24">
        <f t="shared" ref="CK3:CK5" si="25">L3*1.74%</f>
        <v>121799.99999999999</v>
      </c>
      <c r="CL3" s="24">
        <f t="shared" ref="CL3:CL5" si="26">L3*0.3%</f>
        <v>21000</v>
      </c>
      <c r="CM3" s="24">
        <f t="shared" ref="CM3:CM5" si="27">L3*3.7%</f>
        <v>259000.00000000003</v>
      </c>
      <c r="CN3" s="24">
        <f t="shared" ref="CN3:CN5" ca="1" si="28">IF(BL3&gt;=58,0,MIN(L3+BG3,11086300)*2%)</f>
        <v>144000</v>
      </c>
      <c r="CO3" s="24">
        <f t="shared" ref="CO3:CO5" ca="1" si="29">SUM(CK3:CN3)</f>
        <v>545800</v>
      </c>
      <c r="CP3" s="24">
        <f t="shared" ref="CP3:CP5" si="30">MEDIAN(3450000,L3,12000000)*4%</f>
        <v>280000</v>
      </c>
      <c r="CQ3" s="24">
        <f t="shared" ref="CQ3:CQ5" si="31">ROUND(BM3+CA3+BH3-CJ3,-2)</f>
        <v>28917200</v>
      </c>
      <c r="CR3" s="24">
        <f t="shared" ref="CR3:CR5" si="32">L3*2%</f>
        <v>140000</v>
      </c>
      <c r="CS3" s="24">
        <f t="shared" ref="CS3:CS5" ca="1" si="33">IF(BL3&gt;=58,0,MIN(L3+BG3,11086300)*1%)</f>
        <v>72000</v>
      </c>
      <c r="CT3" s="24">
        <f t="shared" ref="CT3:CT5" ca="1" si="34">CR3+CS3</f>
        <v>212000</v>
      </c>
      <c r="CU3" s="24">
        <f t="shared" ref="CU3:CU5" si="35">MEDIAN(3450000,L3,12000000)*1%</f>
        <v>70000</v>
      </c>
      <c r="CV3" s="24">
        <f t="shared" ref="CV3:CV5" si="36">MEDIAN(3450000,L3,12000000)*F3</f>
        <v>70000</v>
      </c>
      <c r="CW3" s="24">
        <f t="shared" ref="CW3:CW5" si="37">CU3+CV3</f>
        <v>140000</v>
      </c>
      <c r="CX3" s="24">
        <f t="shared" ref="CX3:CX5" ca="1" si="38">CT3+CW3+BI3</f>
        <v>3352000</v>
      </c>
      <c r="CY3" s="24">
        <f t="shared" ref="CY3:CY5" ca="1" si="39">ROUND(CQ3-CX3,-2)</f>
        <v>25565200</v>
      </c>
    </row>
    <row r="4" spans="1:103" s="18" customFormat="1" ht="11.25" x14ac:dyDescent="0.2">
      <c r="A4" s="15">
        <v>3</v>
      </c>
      <c r="B4" s="15" t="s">
        <v>106</v>
      </c>
      <c r="C4" s="19" t="s">
        <v>109</v>
      </c>
      <c r="D4" s="20" t="s">
        <v>111</v>
      </c>
      <c r="E4" s="19" t="s">
        <v>115</v>
      </c>
      <c r="F4" s="21">
        <v>0.04</v>
      </c>
      <c r="G4" s="17" t="s">
        <v>120</v>
      </c>
      <c r="H4" s="23">
        <v>45842</v>
      </c>
      <c r="I4" s="22">
        <v>46178</v>
      </c>
      <c r="J4" s="23">
        <v>33820</v>
      </c>
      <c r="K4" s="26" t="s">
        <v>122</v>
      </c>
      <c r="L4" s="25">
        <v>10000000</v>
      </c>
      <c r="M4" s="25">
        <v>1300000</v>
      </c>
      <c r="N4" s="25">
        <v>500000</v>
      </c>
      <c r="O4" s="25">
        <v>400000</v>
      </c>
      <c r="P4" s="25">
        <v>300000</v>
      </c>
      <c r="Q4" s="24">
        <v>200000</v>
      </c>
      <c r="R4" s="24">
        <v>100000</v>
      </c>
      <c r="S4" s="24">
        <v>100000</v>
      </c>
      <c r="T4" s="24">
        <v>100000</v>
      </c>
      <c r="U4" s="24">
        <v>100000</v>
      </c>
      <c r="V4" s="24">
        <v>100000</v>
      </c>
      <c r="W4" s="24">
        <v>100000</v>
      </c>
      <c r="X4" s="24">
        <v>100000</v>
      </c>
      <c r="Y4" s="24">
        <v>500000</v>
      </c>
      <c r="Z4" s="24">
        <v>400000</v>
      </c>
      <c r="AA4" s="24">
        <v>500000</v>
      </c>
      <c r="AB4" s="24">
        <v>600000</v>
      </c>
      <c r="AC4" s="24">
        <v>600000</v>
      </c>
      <c r="AD4" s="24">
        <v>600000</v>
      </c>
      <c r="AE4" s="19">
        <v>25</v>
      </c>
      <c r="AF4" s="19">
        <v>7</v>
      </c>
      <c r="AG4" s="19">
        <v>8</v>
      </c>
      <c r="AH4" s="19">
        <v>9</v>
      </c>
      <c r="AI4" s="19">
        <v>3</v>
      </c>
      <c r="AJ4" s="19">
        <v>3</v>
      </c>
      <c r="AK4" s="19">
        <v>3</v>
      </c>
      <c r="AL4" s="19">
        <v>2</v>
      </c>
      <c r="AM4" s="19">
        <v>2</v>
      </c>
      <c r="AN4" s="19">
        <v>3</v>
      </c>
      <c r="AO4" s="19">
        <v>3</v>
      </c>
      <c r="AP4" s="19">
        <v>3</v>
      </c>
      <c r="AQ4" s="19">
        <v>3</v>
      </c>
      <c r="AR4" s="19">
        <v>3</v>
      </c>
      <c r="AS4" s="19">
        <v>3</v>
      </c>
      <c r="AT4" s="19">
        <v>3</v>
      </c>
      <c r="AU4" s="19">
        <v>3</v>
      </c>
      <c r="AV4" s="19">
        <v>3</v>
      </c>
      <c r="AW4" s="19">
        <v>3</v>
      </c>
      <c r="AX4" s="19">
        <v>3</v>
      </c>
      <c r="AY4" s="19">
        <v>3</v>
      </c>
      <c r="AZ4" s="19">
        <v>3</v>
      </c>
      <c r="BA4" s="19">
        <v>3</v>
      </c>
      <c r="BB4" s="25">
        <v>3000000</v>
      </c>
      <c r="BC4" s="25">
        <v>300000</v>
      </c>
      <c r="BD4" s="25">
        <v>200000</v>
      </c>
      <c r="BE4" s="25">
        <v>100000</v>
      </c>
      <c r="BF4" s="25">
        <v>700000</v>
      </c>
      <c r="BG4" s="25">
        <v>2000000</v>
      </c>
      <c r="BH4" s="24">
        <v>3000000</v>
      </c>
      <c r="BI4" s="24">
        <v>3000000</v>
      </c>
      <c r="BJ4" s="24">
        <v>100000</v>
      </c>
      <c r="BK4" s="24">
        <v>200000</v>
      </c>
      <c r="BL4" s="15">
        <f t="shared" ca="1" si="0"/>
        <v>33</v>
      </c>
      <c r="BM4" s="27">
        <f t="shared" si="1"/>
        <v>13200000</v>
      </c>
      <c r="BN4" s="27">
        <f t="shared" si="2"/>
        <v>2500000</v>
      </c>
      <c r="BO4" s="27">
        <f t="shared" si="3"/>
        <v>1400000</v>
      </c>
      <c r="BP4" s="27">
        <f t="shared" si="4"/>
        <v>4000000</v>
      </c>
      <c r="BQ4" s="27">
        <f t="shared" si="5"/>
        <v>750000</v>
      </c>
      <c r="BR4" s="24">
        <f t="shared" si="6"/>
        <v>5028901.7341040466</v>
      </c>
      <c r="BS4" s="24">
        <f t="shared" si="7"/>
        <v>2100000</v>
      </c>
      <c r="BT4" s="24">
        <f t="shared" si="8"/>
        <v>1500000</v>
      </c>
      <c r="BU4" s="24">
        <f t="shared" si="9"/>
        <v>1200000</v>
      </c>
      <c r="BV4" s="24">
        <f t="shared" si="10"/>
        <v>200000</v>
      </c>
      <c r="BW4" s="24">
        <f t="shared" si="11"/>
        <v>1300578.0346820808</v>
      </c>
      <c r="BX4" s="24">
        <f t="shared" si="12"/>
        <v>1800000</v>
      </c>
      <c r="BY4" s="24">
        <f t="shared" si="13"/>
        <v>1800000</v>
      </c>
      <c r="BZ4" s="24">
        <f t="shared" si="14"/>
        <v>4161849.7109826589</v>
      </c>
      <c r="CA4" s="24">
        <f t="shared" si="15"/>
        <v>32141329.479768783</v>
      </c>
      <c r="CB4" s="24">
        <f t="shared" si="16"/>
        <v>1320000</v>
      </c>
      <c r="CC4" s="24">
        <f t="shared" si="17"/>
        <v>1320000</v>
      </c>
      <c r="CD4" s="24">
        <f t="shared" si="18"/>
        <v>0</v>
      </c>
      <c r="CE4" s="24">
        <f t="shared" si="19"/>
        <v>1320000</v>
      </c>
      <c r="CF4" s="24">
        <f t="shared" si="20"/>
        <v>1800000</v>
      </c>
      <c r="CG4" s="24">
        <f t="shared" si="21"/>
        <v>1320000</v>
      </c>
      <c r="CH4" s="24">
        <f t="shared" si="22"/>
        <v>1320000</v>
      </c>
      <c r="CI4" s="24">
        <f t="shared" si="23"/>
        <v>1800000</v>
      </c>
      <c r="CJ4" s="24">
        <f t="shared" si="24"/>
        <v>10400000</v>
      </c>
      <c r="CK4" s="24">
        <f t="shared" si="25"/>
        <v>174000</v>
      </c>
      <c r="CL4" s="24">
        <f t="shared" si="26"/>
        <v>30000</v>
      </c>
      <c r="CM4" s="24">
        <f t="shared" si="27"/>
        <v>370000.00000000006</v>
      </c>
      <c r="CN4" s="24">
        <f t="shared" ca="1" si="28"/>
        <v>221726</v>
      </c>
      <c r="CO4" s="24">
        <f t="shared" ca="1" si="29"/>
        <v>795726</v>
      </c>
      <c r="CP4" s="24">
        <f t="shared" si="30"/>
        <v>400000</v>
      </c>
      <c r="CQ4" s="24">
        <f t="shared" si="31"/>
        <v>37941300</v>
      </c>
      <c r="CR4" s="24">
        <f t="shared" si="32"/>
        <v>200000</v>
      </c>
      <c r="CS4" s="24">
        <f t="shared" ca="1" si="33"/>
        <v>110863</v>
      </c>
      <c r="CT4" s="24">
        <f t="shared" ca="1" si="34"/>
        <v>310863</v>
      </c>
      <c r="CU4" s="24">
        <f t="shared" si="35"/>
        <v>100000</v>
      </c>
      <c r="CV4" s="24">
        <f t="shared" si="36"/>
        <v>400000</v>
      </c>
      <c r="CW4" s="24">
        <f t="shared" si="37"/>
        <v>500000</v>
      </c>
      <c r="CX4" s="24">
        <f t="shared" ca="1" si="38"/>
        <v>3810863</v>
      </c>
      <c r="CY4" s="24">
        <f t="shared" ca="1" si="39"/>
        <v>34130400</v>
      </c>
    </row>
    <row r="5" spans="1:103" s="18" customFormat="1" ht="18" x14ac:dyDescent="0.2">
      <c r="A5" s="15">
        <v>4</v>
      </c>
      <c r="B5" s="15" t="s">
        <v>106</v>
      </c>
      <c r="C5" s="19" t="s">
        <v>110</v>
      </c>
      <c r="D5" s="20" t="s">
        <v>112</v>
      </c>
      <c r="E5" s="19" t="s">
        <v>116</v>
      </c>
      <c r="F5" s="21">
        <v>7.0000000000000007E-2</v>
      </c>
      <c r="G5" s="17" t="s">
        <v>121</v>
      </c>
      <c r="H5" s="23">
        <v>46174</v>
      </c>
      <c r="I5" s="22">
        <v>46179</v>
      </c>
      <c r="J5" s="23">
        <v>23704</v>
      </c>
      <c r="K5" s="26" t="s">
        <v>122</v>
      </c>
      <c r="L5" s="25">
        <v>20000000</v>
      </c>
      <c r="M5" s="25">
        <v>800000</v>
      </c>
      <c r="N5" s="25">
        <v>500000</v>
      </c>
      <c r="O5" s="25">
        <v>400000</v>
      </c>
      <c r="P5" s="25">
        <v>300000</v>
      </c>
      <c r="Q5" s="24">
        <v>200000</v>
      </c>
      <c r="R5" s="24">
        <v>100000</v>
      </c>
      <c r="S5" s="24">
        <v>100000</v>
      </c>
      <c r="T5" s="24">
        <v>100000</v>
      </c>
      <c r="U5" s="24">
        <v>100000</v>
      </c>
      <c r="V5" s="24">
        <v>100000</v>
      </c>
      <c r="W5" s="24">
        <v>100000</v>
      </c>
      <c r="X5" s="24">
        <v>100000</v>
      </c>
      <c r="Y5" s="24">
        <v>500000</v>
      </c>
      <c r="Z5" s="24">
        <v>400000</v>
      </c>
      <c r="AA5" s="24">
        <v>500000</v>
      </c>
      <c r="AB5" s="24">
        <v>600000</v>
      </c>
      <c r="AC5" s="24">
        <v>600000</v>
      </c>
      <c r="AD5" s="24">
        <v>600000</v>
      </c>
      <c r="AE5" s="19">
        <v>15</v>
      </c>
      <c r="AF5" s="19">
        <v>8</v>
      </c>
      <c r="AG5" s="19">
        <v>9</v>
      </c>
      <c r="AH5" s="19">
        <v>6</v>
      </c>
      <c r="AI5" s="19">
        <v>4</v>
      </c>
      <c r="AJ5" s="19">
        <v>4</v>
      </c>
      <c r="AK5" s="19">
        <v>4</v>
      </c>
      <c r="AL5" s="19">
        <v>2</v>
      </c>
      <c r="AM5" s="19">
        <v>2</v>
      </c>
      <c r="AN5" s="19">
        <v>4</v>
      </c>
      <c r="AO5" s="19">
        <v>4</v>
      </c>
      <c r="AP5" s="19">
        <v>4</v>
      </c>
      <c r="AQ5" s="19">
        <v>4</v>
      </c>
      <c r="AR5" s="19">
        <v>4</v>
      </c>
      <c r="AS5" s="19">
        <v>4</v>
      </c>
      <c r="AT5" s="19">
        <v>4</v>
      </c>
      <c r="AU5" s="19">
        <v>4</v>
      </c>
      <c r="AV5" s="19">
        <v>4</v>
      </c>
      <c r="AW5" s="19">
        <v>4</v>
      </c>
      <c r="AX5" s="19">
        <v>4</v>
      </c>
      <c r="AY5" s="19">
        <v>4</v>
      </c>
      <c r="AZ5" s="19">
        <v>4</v>
      </c>
      <c r="BA5" s="19">
        <v>4</v>
      </c>
      <c r="BB5" s="25">
        <v>4000000</v>
      </c>
      <c r="BC5" s="25">
        <v>400000</v>
      </c>
      <c r="BD5" s="25">
        <v>100000</v>
      </c>
      <c r="BE5" s="25">
        <v>100000</v>
      </c>
      <c r="BF5" s="25">
        <v>800000</v>
      </c>
      <c r="BG5" s="25">
        <v>200000</v>
      </c>
      <c r="BH5" s="24">
        <v>3000000</v>
      </c>
      <c r="BI5" s="24">
        <v>3000000</v>
      </c>
      <c r="BJ5" s="24">
        <v>100000</v>
      </c>
      <c r="BK5" s="24">
        <v>200000</v>
      </c>
      <c r="BL5" s="15">
        <f t="shared" ca="1" si="0"/>
        <v>61</v>
      </c>
      <c r="BM5" s="27">
        <f t="shared" si="1"/>
        <v>22700000</v>
      </c>
      <c r="BN5" s="27">
        <f t="shared" si="2"/>
        <v>1500000</v>
      </c>
      <c r="BO5" s="27">
        <f t="shared" si="3"/>
        <v>1600000</v>
      </c>
      <c r="BP5" s="27">
        <f t="shared" si="4"/>
        <v>4500000</v>
      </c>
      <c r="BQ5" s="27">
        <f t="shared" si="5"/>
        <v>1000000</v>
      </c>
      <c r="BR5" s="24">
        <f t="shared" si="6"/>
        <v>13410404.624277456</v>
      </c>
      <c r="BS5" s="24">
        <f t="shared" si="7"/>
        <v>2800000</v>
      </c>
      <c r="BT5" s="24">
        <f t="shared" si="8"/>
        <v>2000000</v>
      </c>
      <c r="BU5" s="24">
        <f t="shared" si="9"/>
        <v>1200000</v>
      </c>
      <c r="BV5" s="24">
        <f t="shared" si="10"/>
        <v>200000</v>
      </c>
      <c r="BW5" s="24">
        <f t="shared" si="11"/>
        <v>3468208.0924855489</v>
      </c>
      <c r="BX5" s="24">
        <f t="shared" si="12"/>
        <v>2400000</v>
      </c>
      <c r="BY5" s="24">
        <f t="shared" si="13"/>
        <v>2400000</v>
      </c>
      <c r="BZ5" s="24">
        <f t="shared" si="14"/>
        <v>11098265.895953758</v>
      </c>
      <c r="CA5" s="24">
        <f t="shared" si="15"/>
        <v>53076878.612716764</v>
      </c>
      <c r="CB5" s="24">
        <f t="shared" si="16"/>
        <v>3026666.6666666665</v>
      </c>
      <c r="CC5" s="24">
        <f t="shared" si="17"/>
        <v>3026666.6666666665</v>
      </c>
      <c r="CD5" s="24">
        <f t="shared" si="18"/>
        <v>500000</v>
      </c>
      <c r="CE5" s="24">
        <f t="shared" si="19"/>
        <v>3026666.6666666665</v>
      </c>
      <c r="CF5" s="24">
        <f t="shared" si="20"/>
        <v>4127272.7272727271</v>
      </c>
      <c r="CG5" s="24">
        <f t="shared" si="21"/>
        <v>3026666.6666666665</v>
      </c>
      <c r="CH5" s="24">
        <f t="shared" si="22"/>
        <v>3026666.6666666665</v>
      </c>
      <c r="CI5" s="24">
        <f t="shared" si="23"/>
        <v>4127272.7272727271</v>
      </c>
      <c r="CJ5" s="24">
        <f t="shared" si="24"/>
        <v>24087878.787878785</v>
      </c>
      <c r="CK5" s="24">
        <f t="shared" si="25"/>
        <v>348000</v>
      </c>
      <c r="CL5" s="24">
        <f t="shared" si="26"/>
        <v>60000</v>
      </c>
      <c r="CM5" s="24">
        <f t="shared" si="27"/>
        <v>740000.00000000012</v>
      </c>
      <c r="CN5" s="24">
        <f t="shared" ca="1" si="28"/>
        <v>0</v>
      </c>
      <c r="CO5" s="24">
        <f t="shared" ca="1" si="29"/>
        <v>1148000</v>
      </c>
      <c r="CP5" s="24">
        <f t="shared" si="30"/>
        <v>480000</v>
      </c>
      <c r="CQ5" s="24">
        <f t="shared" si="31"/>
        <v>54689000</v>
      </c>
      <c r="CR5" s="24">
        <f t="shared" si="32"/>
        <v>400000</v>
      </c>
      <c r="CS5" s="24">
        <f t="shared" ca="1" si="33"/>
        <v>0</v>
      </c>
      <c r="CT5" s="24">
        <f t="shared" ca="1" si="34"/>
        <v>400000</v>
      </c>
      <c r="CU5" s="24">
        <f t="shared" si="35"/>
        <v>120000</v>
      </c>
      <c r="CV5" s="24">
        <f t="shared" si="36"/>
        <v>840000.00000000012</v>
      </c>
      <c r="CW5" s="24">
        <f t="shared" si="37"/>
        <v>960000.00000000012</v>
      </c>
      <c r="CX5" s="24">
        <f t="shared" ca="1" si="38"/>
        <v>4360000</v>
      </c>
      <c r="CY5" s="24">
        <f t="shared" ca="1" si="39"/>
        <v>50329000</v>
      </c>
    </row>
    <row r="9" spans="1:103" x14ac:dyDescent="0.2">
      <c r="B9" s="4" t="s">
        <v>58</v>
      </c>
    </row>
    <row r="10" spans="1:103" x14ac:dyDescent="0.2">
      <c r="B10" s="5" t="s">
        <v>59</v>
      </c>
    </row>
    <row r="11" spans="1:103" x14ac:dyDescent="0.2">
      <c r="B11" s="6" t="s">
        <v>60</v>
      </c>
    </row>
    <row r="12" spans="1:103" x14ac:dyDescent="0.2">
      <c r="B12" s="7" t="s">
        <v>61</v>
      </c>
    </row>
  </sheetData>
  <phoneticPr fontId="1" type="noConversion"/>
  <hyperlinks>
    <hyperlink ref="K2" r:id="rId1" xr:uid="{1011EEE6-A695-414F-8862-491BC350CA97}"/>
    <hyperlink ref="K3:K5" r:id="rId2" display="djhj@gmail.com" xr:uid="{9F225B46-C6F2-41EC-B6D2-B7A20E660E60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Salary Management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morgan</cp:lastModifiedBy>
  <dcterms:created xsi:type="dcterms:W3CDTF">2026-05-28T03:04:45Z</dcterms:created>
  <dcterms:modified xsi:type="dcterms:W3CDTF">2026-06-06T14:11:07Z</dcterms:modified>
</cp:coreProperties>
</file>